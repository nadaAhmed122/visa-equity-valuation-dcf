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adaoud/Desktop/"/>
    </mc:Choice>
  </mc:AlternateContent>
  <xr:revisionPtr revIDLastSave="0" documentId="8_{2E7753AC-BCF3-DB49-803D-042A957B6314}" xr6:coauthVersionLast="47" xr6:coauthVersionMax="47" xr10:uidLastSave="{00000000-0000-0000-0000-000000000000}"/>
  <bookViews>
    <workbookView xWindow="680" yWindow="760" windowWidth="28040" windowHeight="16980" xr2:uid="{25D552D3-B772-2142-A3DA-60D11910380A}"/>
  </bookViews>
  <sheets>
    <sheet name="Student" sheetId="7" r:id="rId1"/>
    <sheet name="Financial_Data" sheetId="1" r:id="rId2"/>
    <sheet name="Visa_DCF" sheetId="2" r:id="rId3"/>
    <sheet name="Competitors" sheetId="6" r:id="rId4"/>
    <sheet name="Chart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Z3" i="1"/>
  <c r="Z4" i="1"/>
  <c r="Z5" i="1"/>
  <c r="Z6" i="1"/>
  <c r="Z2" i="1"/>
  <c r="C2" i="6"/>
  <c r="Y3" i="1"/>
  <c r="Y4" i="1"/>
  <c r="Y5" i="1"/>
  <c r="Y6" i="1"/>
  <c r="Y2" i="1"/>
  <c r="D2" i="6"/>
  <c r="B2" i="6"/>
  <c r="S3" i="1"/>
  <c r="S4" i="1"/>
  <c r="S5" i="1"/>
  <c r="S6" i="1"/>
  <c r="S2" i="1"/>
  <c r="N18" i="2"/>
  <c r="L6" i="2"/>
  <c r="L7" i="2"/>
  <c r="L3" i="2"/>
  <c r="K4" i="2"/>
  <c r="L4" i="2" s="1"/>
  <c r="K5" i="2"/>
  <c r="L5" i="2" s="1"/>
  <c r="K6" i="2"/>
  <c r="K7" i="2"/>
  <c r="K3" i="2"/>
  <c r="N22" i="2"/>
  <c r="N6" i="2"/>
  <c r="N10" i="2"/>
  <c r="N9" i="2"/>
  <c r="N12" i="2"/>
  <c r="N14" i="2" s="1"/>
  <c r="N11" i="2"/>
  <c r="H2" i="2"/>
  <c r="G2" i="2"/>
  <c r="D2" i="2"/>
  <c r="F2" i="2" s="1"/>
  <c r="C2" i="2"/>
  <c r="C3" i="2" s="1"/>
  <c r="V5" i="1"/>
  <c r="V6" i="1"/>
  <c r="X6" i="1" s="1"/>
  <c r="I2" i="2" s="1"/>
  <c r="Q3" i="1"/>
  <c r="Q4" i="1"/>
  <c r="Q5" i="1"/>
  <c r="Q6" i="1"/>
  <c r="Q2" i="1"/>
  <c r="P3" i="1"/>
  <c r="P4" i="1"/>
  <c r="P5" i="1"/>
  <c r="P6" i="1"/>
  <c r="P2" i="1"/>
  <c r="O3" i="1"/>
  <c r="O4" i="1"/>
  <c r="O5" i="1"/>
  <c r="O6" i="1"/>
  <c r="O2" i="1"/>
  <c r="N3" i="1"/>
  <c r="R3" i="1" s="1"/>
  <c r="N4" i="1"/>
  <c r="R4" i="1" s="1"/>
  <c r="N5" i="1"/>
  <c r="R5" i="1" s="1"/>
  <c r="N6" i="1"/>
  <c r="R6" i="1" s="1"/>
  <c r="N2" i="1"/>
  <c r="R2" i="1" s="1"/>
  <c r="N15" i="2" l="1"/>
  <c r="I3" i="2"/>
  <c r="H3" i="2"/>
  <c r="C4" i="2"/>
  <c r="G3" i="2"/>
  <c r="D3" i="2"/>
  <c r="F3" i="2" s="1"/>
  <c r="J2" i="2"/>
  <c r="J3" i="2" l="1"/>
  <c r="G4" i="2"/>
  <c r="C5" i="2"/>
  <c r="I4" i="2"/>
  <c r="D4" i="2"/>
  <c r="F4" i="2" s="1"/>
  <c r="H4" i="2"/>
  <c r="J4" i="2" l="1"/>
  <c r="D5" i="2"/>
  <c r="F5" i="2" s="1"/>
  <c r="C6" i="2"/>
  <c r="G5" i="2"/>
  <c r="I5" i="2"/>
  <c r="H5" i="2"/>
  <c r="H6" i="2" l="1"/>
  <c r="C7" i="2"/>
  <c r="G6" i="2"/>
  <c r="D6" i="2"/>
  <c r="F6" i="2" s="1"/>
  <c r="I6" i="2"/>
  <c r="J5" i="2"/>
  <c r="J6" i="2" l="1"/>
  <c r="I7" i="2"/>
  <c r="H7" i="2"/>
  <c r="G7" i="2"/>
  <c r="D7" i="2"/>
  <c r="F7" i="2" l="1"/>
  <c r="J7" i="2" s="1"/>
  <c r="N17" i="2" l="1"/>
  <c r="N19" i="2" s="1"/>
  <c r="N20" i="2" s="1"/>
  <c r="N23" i="2"/>
  <c r="N25" i="2" s="1"/>
  <c r="B28" i="2" s="1"/>
</calcChain>
</file>

<file path=xl/sharedStrings.xml><?xml version="1.0" encoding="utf-8"?>
<sst xmlns="http://schemas.openxmlformats.org/spreadsheetml/2006/main" count="71" uniqueCount="68">
  <si>
    <t>Year</t>
  </si>
  <si>
    <t>Net Revenue </t>
  </si>
  <si>
    <t>Operating Income (EBIT)</t>
  </si>
  <si>
    <t>Income before tax (EBT)</t>
  </si>
  <si>
    <t>Net income</t>
  </si>
  <si>
    <t>Total Assets</t>
  </si>
  <si>
    <t>Total Shareholder's Equity</t>
  </si>
  <si>
    <t>Net cash from operating activities</t>
  </si>
  <si>
    <t>Capital expenditures</t>
  </si>
  <si>
    <t>Depreciation &amp; amortisation</t>
  </si>
  <si>
    <t>Net profit margin</t>
  </si>
  <si>
    <t>Asset turnover</t>
  </si>
  <si>
    <t>Equity multiplier</t>
  </si>
  <si>
    <t>Cash conversion ratio</t>
  </si>
  <si>
    <t>Return on Equity (ROE)</t>
  </si>
  <si>
    <t>Revenue</t>
  </si>
  <si>
    <t>EBIT</t>
  </si>
  <si>
    <t>NOPAT</t>
  </si>
  <si>
    <t>D&amp;A</t>
  </si>
  <si>
    <t>FCFF</t>
  </si>
  <si>
    <t>Operating Current Assets</t>
  </si>
  <si>
    <t>Operating Current Liabilities</t>
  </si>
  <si>
    <t>Net Working Capital</t>
  </si>
  <si>
    <t>ΔNWC</t>
  </si>
  <si>
    <t>ΔNWC 2024</t>
  </si>
  <si>
    <t>Tax Rate</t>
  </si>
  <si>
    <t>CapEX</t>
  </si>
  <si>
    <t xml:space="preserve">Base Year </t>
  </si>
  <si>
    <t>WACC inputs</t>
  </si>
  <si>
    <t>Valuation date</t>
  </si>
  <si>
    <t>Risk-free rate (Rf)</t>
  </si>
  <si>
    <t>Beta (levered)</t>
  </si>
  <si>
    <t>Interest expense</t>
  </si>
  <si>
    <t>Avg debt</t>
  </si>
  <si>
    <t>WACC</t>
  </si>
  <si>
    <t xml:space="preserve">Equity risk premium </t>
  </si>
  <si>
    <t xml:space="preserve">Cost of equity </t>
  </si>
  <si>
    <t>Total debt</t>
  </si>
  <si>
    <t xml:space="preserve">Market cap </t>
  </si>
  <si>
    <t xml:space="preserve">Debt weight </t>
  </si>
  <si>
    <t xml:space="preserve">Equity weight </t>
  </si>
  <si>
    <t>Tax rate</t>
  </si>
  <si>
    <t xml:space="preserve">Pre-tax cost of debt </t>
  </si>
  <si>
    <t>Terminal growth (g)</t>
  </si>
  <si>
    <t>FCFF 2030</t>
  </si>
  <si>
    <t>Terminal value at 2029</t>
  </si>
  <si>
    <t>Discount Factor</t>
  </si>
  <si>
    <t>PV(FCFF)</t>
  </si>
  <si>
    <t>PV Terminal Value</t>
  </si>
  <si>
    <t>Enterprise Value (EV)</t>
  </si>
  <si>
    <t>Cash (FY2024)</t>
  </si>
  <si>
    <t>Net debt (Debt - Cash)</t>
  </si>
  <si>
    <t>Equity value</t>
  </si>
  <si>
    <t>Shares outstanding (millions)</t>
  </si>
  <si>
    <t>Value per share</t>
  </si>
  <si>
    <t>All monetary values are in USD millions unless stated otherwise.</t>
  </si>
  <si>
    <t>Over 75% of EV comes from terminal value.</t>
  </si>
  <si>
    <t>The cost of debt is approximated using accounting interest expense due to limited market yield data.</t>
  </si>
  <si>
    <t>Free Cash Flow</t>
  </si>
  <si>
    <t>Company</t>
  </si>
  <si>
    <t>Profit Margin</t>
  </si>
  <si>
    <t>Operating Margin</t>
  </si>
  <si>
    <t>ROE</t>
  </si>
  <si>
    <t>ROA</t>
  </si>
  <si>
    <t>VISA</t>
  </si>
  <si>
    <t>Mastercard</t>
  </si>
  <si>
    <t>AmEx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</si>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</sst>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#,##0.00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10" fontId="0" fillId="0" borderId="0" xfId="1" applyNumberFormat="1" applyFont="1"/>
    <xf numFmtId="0" fontId="3" fillId="0" borderId="0" xfId="0" applyFont="1"/>
    <xf numFmtId="14" fontId="0" fillId="0" borderId="0" xfId="0" applyNumberFormat="1"/>
    <xf numFmtId="164" fontId="0" fillId="0" borderId="0" xfId="1" applyNumberFormat="1" applyFont="1"/>
    <xf numFmtId="0" fontId="0" fillId="0" borderId="0" xfId="2" applyNumberFormat="1" applyFont="1"/>
    <xf numFmtId="165" fontId="0" fillId="0" borderId="0" xfId="0" applyNumberFormat="1"/>
    <xf numFmtId="0" fontId="4" fillId="0" borderId="0" xfId="0" applyFont="1"/>
    <xf numFmtId="0" fontId="5" fillId="0" borderId="0" xfId="0" applyFont="1"/>
    <xf numFmtId="10" fontId="0" fillId="0" borderId="0" xfId="0" applyNumberFormat="1"/>
  </cellXfs>
  <cellStyles count="3">
    <cellStyle name="Comma" xfId="2" builtinId="3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trend 2020-2024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Financial_Data!$A$1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Financial_Data!$A$2:$A$6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6-D54B-8B81-59712B97CDA7}"/>
            </c:ext>
          </c:extLst>
        </c:ser>
        <c:ser>
          <c:idx val="1"/>
          <c:order val="1"/>
          <c:tx>
            <c:strRef>
              <c:f>Financial_Data!$B$1</c:f>
              <c:strCache>
                <c:ptCount val="1"/>
                <c:pt idx="0">
                  <c:v>Net Revenue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Financial_Data!$B$2:$B$6</c:f>
              <c:numCache>
                <c:formatCode>#,##0</c:formatCode>
                <c:ptCount val="5"/>
                <c:pt idx="0">
                  <c:v>21846</c:v>
                </c:pt>
                <c:pt idx="1">
                  <c:v>24105</c:v>
                </c:pt>
                <c:pt idx="2">
                  <c:v>29310</c:v>
                </c:pt>
                <c:pt idx="3">
                  <c:v>32653</c:v>
                </c:pt>
                <c:pt idx="4">
                  <c:v>35926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6-D54B-8B81-59712B97C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226239"/>
        <c:axId val="1199463455"/>
      </c:barChart>
      <c:catAx>
        <c:axId val="944226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463455"/>
        <c:crosses val="autoZero"/>
        <c:auto val="1"/>
        <c:lblAlgn val="ctr"/>
        <c:lblOffset val="100"/>
        <c:noMultiLvlLbl val="0"/>
      </c:catAx>
      <c:valAx>
        <c:axId val="119946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22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Net Income Trend (2020–2024)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Financial_Data!$A$1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Financial_Data!$A$2:$A$6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C-A34C-8370-2F9B78947057}"/>
            </c:ext>
          </c:extLst>
        </c:ser>
        <c:ser>
          <c:idx val="1"/>
          <c:order val="1"/>
          <c:tx>
            <c:strRef>
              <c:f>Financial_Data!$E$1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Financial_Data!$E$2:$E$6</c:f>
              <c:numCache>
                <c:formatCode>#,##0</c:formatCode>
                <c:ptCount val="5"/>
                <c:pt idx="0">
                  <c:v>10866</c:v>
                </c:pt>
                <c:pt idx="1">
                  <c:v>12311</c:v>
                </c:pt>
                <c:pt idx="2">
                  <c:v>14957</c:v>
                </c:pt>
                <c:pt idx="3">
                  <c:v>17273</c:v>
                </c:pt>
                <c:pt idx="4">
                  <c:v>19743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C-A34C-8370-2F9B78947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6250992"/>
        <c:axId val="943901135"/>
      </c:barChart>
      <c:catAx>
        <c:axId val="1086250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01135"/>
        <c:crosses val="autoZero"/>
        <c:auto val="1"/>
        <c:lblAlgn val="ctr"/>
        <c:lblOffset val="100"/>
        <c:noMultiLvlLbl val="0"/>
      </c:catAx>
      <c:valAx>
        <c:axId val="9439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5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ROE Trend (2020–2024)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Financial_Data!$A$2:$A$6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Financial_Data!$R$2:$R$6</c:f>
              <c:numCache>
                <c:formatCode>0.00%</c:formatCode>
                <c:ptCount val="5"/>
                <c:pt idx="0">
                  <c:v>0.28831814415907209</c:v>
                </c:pt>
                <c:pt idx="1">
                  <c:v>0.4050919151879539</c:v>
                </c:pt>
                <c:pt idx="2">
                  <c:v>0.52974902335516139</c:v>
                </c:pt>
                <c:pt idx="3">
                  <c:v>0.53920295126259998</c:v>
                </c:pt>
                <c:pt idx="4">
                  <c:v>0.50974780897871586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3-0641-B3A8-16CDFF560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473455"/>
        <c:axId val="404925312"/>
      </c:barChart>
      <c:catAx>
        <c:axId val="119947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25312"/>
        <c:crosses val="autoZero"/>
        <c:auto val="1"/>
        <c:lblAlgn val="ctr"/>
        <c:lblOffset val="100"/>
        <c:noMultiLvlLbl val="0"/>
      </c:catAx>
      <c:valAx>
        <c:axId val="4049253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47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Free Cash Flow Trend (2020–2024)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Financial_Data!$A$1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Financial_Data!$A$2:$A$6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D-774A-BB3A-E5D026F32E2B}"/>
            </c:ext>
          </c:extLst>
        </c:ser>
        <c:ser>
          <c:idx val="1"/>
          <c:order val="1"/>
          <c:tx>
            <c:strRef>
              <c:f>Financial_Data!$S$1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Financial_Data!$S$2:$S$6</c:f>
              <c:numCache>
                <c:formatCode>#,##0</c:formatCode>
                <c:ptCount val="5"/>
                <c:pt idx="0">
                  <c:v>9704</c:v>
                </c:pt>
                <c:pt idx="1">
                  <c:v>14522</c:v>
                </c:pt>
                <c:pt idx="2">
                  <c:v>17879</c:v>
                </c:pt>
                <c:pt idx="3">
                  <c:v>19696</c:v>
                </c:pt>
                <c:pt idx="4">
                  <c:v>18693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0D-774A-BB3A-E5D026F32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851392"/>
        <c:axId val="594346048"/>
      </c:barChart>
      <c:catAx>
        <c:axId val="590851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46048"/>
        <c:crosses val="autoZero"/>
        <c:auto val="1"/>
        <c:lblAlgn val="ctr"/>
        <c:lblOffset val="100"/>
        <c:noMultiLvlLbl val="0"/>
      </c:catAx>
      <c:valAx>
        <c:axId val="5943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85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DuPont Decomposition of ROE (2020–2024)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Financial_Data!$N$1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Financial_Data!$A$2:$A$6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Financial_Data!$N$2:$N$6</c:f>
              <c:numCache>
                <c:formatCode>0.00%</c:formatCode>
                <c:ptCount val="5"/>
                <c:pt idx="0">
                  <c:v>0.49739082669596263</c:v>
                </c:pt>
                <c:pt idx="1">
                  <c:v>0.51072391619995849</c:v>
                </c:pt>
                <c:pt idx="2">
                  <c:v>0.51030365063118388</c:v>
                </c:pt>
                <c:pt idx="3">
                  <c:v>0.52898661684990655</c:v>
                </c:pt>
                <c:pt idx="4">
                  <c:v>0.54954628959527918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B-DD45-9DDD-A600F40CE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7859632"/>
        <c:axId val="1061540543"/>
      </c:barChart>
      <c:lineChart>
        <c:grouping val="standard"/>
        <c:varyColors val="0"/>
        <c:ser>
          <c:idx val="2"/>
          <c:order val="1"/>
          <c:tx>
            <c:strRef>
              <c:f>Financial_Data!$O$1</c:f>
              <c:strCache>
                <c:ptCount val="1"/>
                <c:pt idx="0">
                  <c:v>Asset turnover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Financial_Data!$O$2:$O$6</c:f>
              <c:numCache>
                <c:formatCode>General</c:formatCode>
                <c:ptCount val="5"/>
                <c:pt idx="0">
                  <c:v>0.2699736773810848</c:v>
                </c:pt>
                <c:pt idx="1">
                  <c:v>0.29078604516502604</c:v>
                </c:pt>
                <c:pt idx="2">
                  <c:v>0.34280300815195142</c:v>
                </c:pt>
                <c:pt idx="3">
                  <c:v>0.36081061669189712</c:v>
                </c:pt>
                <c:pt idx="4">
                  <c:v>0.3801250648072711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7B-DD45-9DDD-A600F40CE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59632"/>
        <c:axId val="1061540543"/>
      </c:lineChart>
      <c:lineChart>
        <c:grouping val="standard"/>
        <c:varyColors val="0"/>
        <c:ser>
          <c:idx val="3"/>
          <c:order val="2"/>
          <c:tx>
            <c:strRef>
              <c:f>Financial_Data!$P$1</c:f>
              <c:strCache>
                <c:ptCount val="1"/>
                <c:pt idx="0">
                  <c:v>Equity multiplier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Financial_Data!$P$2:$P$6</c:f>
              <c:numCache>
                <c:formatCode>General</c:formatCode>
                <c:ptCount val="5"/>
                <c:pt idx="0">
                  <c:v>2.2347141673570836</c:v>
                </c:pt>
                <c:pt idx="1">
                  <c:v>2.2053260262310781</c:v>
                </c:pt>
                <c:pt idx="2">
                  <c:v>2.4029959810010961</c:v>
                </c:pt>
                <c:pt idx="3">
                  <c:v>2.3511119193598669</c:v>
                </c:pt>
                <c:pt idx="4">
                  <c:v>2.4148759485908475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7B-DD45-9DDD-A600F40CE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680560"/>
        <c:axId val="477058368"/>
      </c:lineChart>
      <c:catAx>
        <c:axId val="1778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540543"/>
        <c:crosses val="autoZero"/>
        <c:auto val="1"/>
        <c:lblAlgn val="ctr"/>
        <c:lblOffset val="100"/>
        <c:noMultiLvlLbl val="0"/>
      </c:catAx>
      <c:valAx>
        <c:axId val="1061540543"/>
        <c:scaling>
          <c:orientation val="minMax"/>
          <c:max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9632"/>
        <c:crosses val="autoZero"/>
        <c:crossBetween val="between"/>
      </c:valAx>
      <c:valAx>
        <c:axId val="477058368"/>
        <c:scaling>
          <c:orientation val="minMax"/>
          <c:max val="2.6"/>
          <c:min val="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680560"/>
        <c:crosses val="max"/>
        <c:crossBetween val="between"/>
        <c:majorUnit val="0.2"/>
      </c:valAx>
      <c:catAx>
        <c:axId val="476680560"/>
        <c:scaling>
          <c:orientation val="minMax"/>
        </c:scaling>
        <c:delete val="1"/>
        <c:axPos val="b"/>
        <c:majorTickMark val="out"/>
        <c:minorTickMark val="none"/>
        <c:tickLblPos val="nextTo"/>
        <c:crossAx val="477058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Peer Comparison (FY2024)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Competitors!$B$1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Competitors!$A$2:$A$5</c:f>
              <c:strCache>
                <c:ptCount val="4"/>
                <c:pt idx="0">
                  <c:v>VISA</c:v>
                </c:pt>
                <c:pt idx="1">
                  <c:v>Mastercard</c:v>
                </c:pt>
                <c:pt idx="2">
                  <c:v>AmEx</c:v>
                </c:pt>
                <c:pt idx="3">
                  <c:v>Paypal</c:v>
                </c:pt>
              </c:strCache>
            </c:strRef>
          </c:cat>
          <c:val>
            <c:numRef>
              <c:f>Competitors!$B$2:$B$5</c:f>
              <c:numCache>
                <c:formatCode>0.00%</c:formatCode>
                <c:ptCount val="4"/>
                <c:pt idx="0">
                  <c:v>0.54954628959527918</c:v>
                </c:pt>
                <c:pt idx="1">
                  <c:v>0.44629999999999997</c:v>
                </c:pt>
                <c:pt idx="2">
                  <c:v>0.13469999999999999</c:v>
                </c:pt>
                <c:pt idx="3">
                  <c:v>0.14299999999999999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8-A040-A669-15ACFA1B63E0}"/>
            </c:ext>
          </c:extLst>
        </c:ser>
        <c:ser>
          <c:idx val="1"/>
          <c:order val="1"/>
          <c:tx>
            <c:strRef>
              <c:f>Competitors!$C$1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Competitors!$A$2:$A$5</c:f>
              <c:strCache>
                <c:ptCount val="4"/>
                <c:pt idx="0">
                  <c:v>VISA</c:v>
                </c:pt>
                <c:pt idx="1">
                  <c:v>Mastercard</c:v>
                </c:pt>
                <c:pt idx="2">
                  <c:v>AmEx</c:v>
                </c:pt>
                <c:pt idx="3">
                  <c:v>Paypal</c:v>
                </c:pt>
              </c:strCache>
            </c:strRef>
          </c:cat>
          <c:val>
            <c:numRef>
              <c:f>Competitors!$C$2:$C$5</c:f>
              <c:numCache>
                <c:formatCode>0.00%</c:formatCode>
                <c:ptCount val="4"/>
                <c:pt idx="0">
                  <c:v>0.65676668707899566</c:v>
                </c:pt>
                <c:pt idx="1">
                  <c:v>0.55320000000000003</c:v>
                </c:pt>
                <c:pt idx="2">
                  <c:v>0.19550000000000001</c:v>
                </c:pt>
                <c:pt idx="3">
                  <c:v>0.16750000000000001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8-A040-A669-15ACFA1B63E0}"/>
            </c:ext>
          </c:extLst>
        </c:ser>
        <c:ser>
          <c:idx val="2"/>
          <c:order val="2"/>
          <c:tx>
            <c:strRef>
              <c:f>Competitors!$D$1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Competitors!$A$2:$A$5</c:f>
              <c:strCache>
                <c:ptCount val="4"/>
                <c:pt idx="0">
                  <c:v>VISA</c:v>
                </c:pt>
                <c:pt idx="1">
                  <c:v>Mastercard</c:v>
                </c:pt>
                <c:pt idx="2">
                  <c:v>AmEx</c:v>
                </c:pt>
                <c:pt idx="3">
                  <c:v>Paypal</c:v>
                </c:pt>
              </c:strCache>
            </c:strRef>
          </c:cat>
          <c:val>
            <c:numRef>
              <c:f>Competitors!$D$2:$D$5</c:f>
              <c:numCache>
                <c:formatCode>0.00%</c:formatCode>
                <c:ptCount val="4"/>
                <c:pt idx="0">
                  <c:v>0.50974780897871586</c:v>
                </c:pt>
                <c:pt idx="1">
                  <c:v>1.919</c:v>
                </c:pt>
                <c:pt idx="2">
                  <c:v>0.34139999999999998</c:v>
                </c:pt>
                <c:pt idx="3">
                  <c:v>0.2031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58-A040-A669-15ACFA1B63E0}"/>
            </c:ext>
          </c:extLst>
        </c:ser>
        <c:ser>
          <c:idx val="3"/>
          <c:order val="3"/>
          <c:tx>
            <c:strRef>
              <c:f>Competitors!$E$1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Competitors!$A$2:$A$5</c:f>
              <c:strCache>
                <c:ptCount val="4"/>
                <c:pt idx="0">
                  <c:v>VISA</c:v>
                </c:pt>
                <c:pt idx="1">
                  <c:v>Mastercard</c:v>
                </c:pt>
                <c:pt idx="2">
                  <c:v>AmEx</c:v>
                </c:pt>
                <c:pt idx="3">
                  <c:v>Paypal</c:v>
                </c:pt>
              </c:strCache>
            </c:strRef>
          </c:cat>
          <c:val>
            <c:numRef>
              <c:f>Competitors!$E$2:$E$5</c:f>
              <c:numCache>
                <c:formatCode>0.00%</c:formatCode>
                <c:ptCount val="4"/>
                <c:pt idx="0">
                  <c:v>0.20889631894700089</c:v>
                </c:pt>
                <c:pt idx="1">
                  <c:v>0.28399999999999997</c:v>
                </c:pt>
                <c:pt idx="2">
                  <c:v>3.6999999999999998E-2</c:v>
                </c:pt>
                <c:pt idx="3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58-A040-A669-15ACFA1B6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549744"/>
        <c:axId val="460032448"/>
      </c:barChart>
      <c:catAx>
        <c:axId val="43854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32448"/>
        <c:crosses val="autoZero"/>
        <c:auto val="1"/>
        <c:lblAlgn val="ctr"/>
        <c:lblOffset val="100"/>
        <c:noMultiLvlLbl val="0"/>
      </c:catAx>
      <c:valAx>
        <c:axId val="46003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4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349539</xdr:colOff>
      <xdr:row>1</xdr:row>
      <xdr:rowOff>198005</xdr:rowOff>
    </xdr:from>
    <xdr:to>
      <xdr:col>5</xdr:col>
      <xdr:colOff>794039</xdr:colOff>
      <xdr:row>15</xdr:row>
      <xdr:rowOff>96405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91C86D-F2D5-6BC7-4A36-4A35A679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158750</xdr:colOff>
      <xdr:row>1</xdr:row>
      <xdr:rowOff>198005</xdr:rowOff>
    </xdr:from>
    <xdr:to>
      <xdr:col>12</xdr:col>
      <xdr:colOff>603250</xdr:colOff>
      <xdr:row>15</xdr:row>
      <xdr:rowOff>96405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E39CD7-A156-251E-EA88-EB5DEEDCE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60036</xdr:colOff>
      <xdr:row>1</xdr:row>
      <xdr:rowOff>188769</xdr:rowOff>
    </xdr:from>
    <xdr:to>
      <xdr:col>19</xdr:col>
      <xdr:colOff>510886</xdr:colOff>
      <xdr:row>15</xdr:row>
      <xdr:rowOff>103332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11E9DFCD-3F50-4D20-0C08-5870ADC77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673100</xdr:colOff>
      <xdr:row>1</xdr:row>
      <xdr:rowOff>184150</xdr:rowOff>
    </xdr:from>
    <xdr:to>
      <xdr:col>26</xdr:col>
      <xdr:colOff>292100</xdr:colOff>
      <xdr:row>15</xdr:row>
      <xdr:rowOff>82550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91CE9758-ACF5-B500-C5EC-85933C9C3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717550</xdr:colOff>
      <xdr:row>1</xdr:row>
      <xdr:rowOff>184150</xdr:rowOff>
    </xdr:from>
    <xdr:to>
      <xdr:col>33</xdr:col>
      <xdr:colOff>336550</xdr:colOff>
      <xdr:row>15</xdr:row>
      <xdr:rowOff>82550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2B37A801-FFBB-22A0-F839-E858820E4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173566</xdr:colOff>
      <xdr:row>1</xdr:row>
      <xdr:rowOff>179917</xdr:rowOff>
    </xdr:from>
    <xdr:to>
      <xdr:col>39</xdr:col>
      <xdr:colOff>596899</xdr:colOff>
      <xdr:row>15</xdr:row>
      <xdr:rowOff>78317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24DE6145-E966-4E4F-A241-7B905F333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4562-CD11-354A-AAA1-5CF02DF4F5FE}">
  <dimension ref="A1"/>
  <sheetViews>
    <sheetView tabSelected="1" workbookViewId="0">
      <selection activeCell="A3" sqref="A3"/>
    </sheetView>
  </sheetViews>
  <sheetFormatPr baseColWidth="10" defaultRowHeight="16" x14ac:dyDescent="0.2"/>
  <cols>
    <col min="1" max="1" width="15.5" customWidth="1"/>
    <col min="2" max="2" width="69.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5655-2EED-3543-9094-80847C70DA32}">
  <dimension ref="A1:Z999"/>
  <sheetViews>
    <sheetView zoomScale="143" zoomScaleNormal="100" workbookViewId="0">
      <selection activeCell="G17" sqref="G17"/>
    </sheetView>
  </sheetViews>
  <sheetFormatPr baseColWidth="10" defaultRowHeight="16" x14ac:dyDescent="0.2"/>
  <cols>
    <col min="3" max="3" width="21.5" customWidth="1"/>
    <col min="4" max="4" width="21.83203125" customWidth="1"/>
    <col min="8" max="8" width="21.33203125" customWidth="1"/>
    <col min="10" max="10" width="28" customWidth="1"/>
    <col min="11" max="11" width="20.83203125" customWidth="1"/>
    <col min="12" max="12" width="21.6640625" customWidth="1"/>
    <col min="14" max="14" width="18" style="4" customWidth="1"/>
    <col min="15" max="15" width="17.1640625" customWidth="1"/>
    <col min="16" max="16" width="16.1640625" customWidth="1"/>
    <col min="17" max="17" width="18.5" customWidth="1"/>
    <col min="18" max="18" width="19.33203125" style="4" customWidth="1"/>
    <col min="19" max="19" width="23.5" customWidth="1"/>
    <col min="20" max="20" width="21.5" customWidth="1"/>
    <col min="21" max="21" width="23.1640625" customWidth="1"/>
    <col min="22" max="22" width="20.33203125" customWidth="1"/>
    <col min="25" max="25" width="17.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J1" t="s">
        <v>7</v>
      </c>
      <c r="K1" t="s">
        <v>8</v>
      </c>
      <c r="L1" s="1" t="s">
        <v>9</v>
      </c>
      <c r="N1" s="4" t="s">
        <v>10</v>
      </c>
      <c r="O1" t="s">
        <v>11</v>
      </c>
      <c r="P1" t="s">
        <v>12</v>
      </c>
      <c r="Q1" t="s">
        <v>13</v>
      </c>
      <c r="R1" s="4" t="s">
        <v>14</v>
      </c>
      <c r="S1" t="s">
        <v>58</v>
      </c>
      <c r="T1" t="s">
        <v>20</v>
      </c>
      <c r="U1" t="s">
        <v>21</v>
      </c>
      <c r="V1" t="s">
        <v>22</v>
      </c>
      <c r="Y1" t="s">
        <v>61</v>
      </c>
      <c r="Z1" t="s">
        <v>63</v>
      </c>
    </row>
    <row r="2" spans="1:26" x14ac:dyDescent="0.2">
      <c r="A2">
        <v>2020</v>
      </c>
      <c r="B2" s="2">
        <v>21846</v>
      </c>
      <c r="C2" s="2">
        <v>14081</v>
      </c>
      <c r="D2">
        <v>13754</v>
      </c>
      <c r="E2" s="2">
        <v>10866</v>
      </c>
      <c r="G2" s="2">
        <v>80919</v>
      </c>
      <c r="H2" s="2">
        <v>36210</v>
      </c>
      <c r="J2" s="2">
        <v>10440</v>
      </c>
      <c r="K2">
        <v>736</v>
      </c>
      <c r="L2" s="1">
        <v>767</v>
      </c>
      <c r="N2" s="4">
        <f>E2/B2</f>
        <v>0.49739082669596263</v>
      </c>
      <c r="O2">
        <f>B2/G2</f>
        <v>0.2699736773810848</v>
      </c>
      <c r="P2">
        <f>G2/H2</f>
        <v>2.2347141673570836</v>
      </c>
      <c r="Q2">
        <f>J2/E2</f>
        <v>0.96079514080618444</v>
      </c>
      <c r="R2" s="4">
        <f>N2*O2*P2*Q2</f>
        <v>0.28831814415907209</v>
      </c>
      <c r="S2" s="2">
        <f>J2-K2</f>
        <v>9704</v>
      </c>
      <c r="Y2">
        <f>Financial_Data!C2/Financial_Data!B2</f>
        <v>0.64455735603771858</v>
      </c>
      <c r="Z2">
        <f>Financial_Data!E2/Financial_Data!G2</f>
        <v>0.13428243057872688</v>
      </c>
    </row>
    <row r="3" spans="1:26" x14ac:dyDescent="0.2">
      <c r="A3">
        <v>2021</v>
      </c>
      <c r="B3" s="2">
        <v>24105</v>
      </c>
      <c r="C3" s="2">
        <v>15804</v>
      </c>
      <c r="D3" s="2">
        <v>16063</v>
      </c>
      <c r="E3" s="2">
        <v>12311</v>
      </c>
      <c r="G3" s="2">
        <v>82896</v>
      </c>
      <c r="H3" s="2">
        <v>37589</v>
      </c>
      <c r="J3" s="2">
        <v>15227</v>
      </c>
      <c r="K3">
        <v>705</v>
      </c>
      <c r="L3" s="1">
        <v>804</v>
      </c>
      <c r="N3" s="4">
        <f t="shared" ref="N3:N6" si="0">E3/B3</f>
        <v>0.51072391619995849</v>
      </c>
      <c r="O3">
        <f t="shared" ref="O3:O6" si="1">B3/G3</f>
        <v>0.29078604516502604</v>
      </c>
      <c r="P3">
        <f t="shared" ref="P3:P6" si="2">G3/H3</f>
        <v>2.2053260262310781</v>
      </c>
      <c r="Q3">
        <f t="shared" ref="Q3:Q6" si="3">J3/E3</f>
        <v>1.2368613435139306</v>
      </c>
      <c r="R3" s="4">
        <f t="shared" ref="R3:R6" si="4">N3*O3*P3*Q3</f>
        <v>0.4050919151879539</v>
      </c>
      <c r="S3" s="2">
        <f t="shared" ref="S3:S6" si="5">J3-K3</f>
        <v>14522</v>
      </c>
      <c r="Y3">
        <f>Financial_Data!C3/Financial_Data!B3</f>
        <v>0.65563161169881767</v>
      </c>
      <c r="Z3">
        <f>Financial_Data!E3/Financial_Data!G3</f>
        <v>0.14851138776298012</v>
      </c>
    </row>
    <row r="4" spans="1:26" x14ac:dyDescent="0.2">
      <c r="A4">
        <v>2022</v>
      </c>
      <c r="B4" s="2">
        <v>29310</v>
      </c>
      <c r="C4" s="2">
        <v>18813</v>
      </c>
      <c r="D4" s="2">
        <v>18136</v>
      </c>
      <c r="E4" s="2">
        <v>14957</v>
      </c>
      <c r="G4" s="2">
        <v>85501</v>
      </c>
      <c r="H4" s="2">
        <v>35581</v>
      </c>
      <c r="J4" s="2">
        <v>18849</v>
      </c>
      <c r="K4">
        <v>970</v>
      </c>
      <c r="L4" s="1">
        <v>861</v>
      </c>
      <c r="N4" s="4">
        <f t="shared" si="0"/>
        <v>0.51030365063118388</v>
      </c>
      <c r="O4">
        <f t="shared" si="1"/>
        <v>0.34280300815195142</v>
      </c>
      <c r="P4">
        <f t="shared" si="2"/>
        <v>2.4029959810010961</v>
      </c>
      <c r="Q4">
        <f t="shared" si="3"/>
        <v>1.2602126094805108</v>
      </c>
      <c r="R4" s="4">
        <f t="shared" si="4"/>
        <v>0.52974902335516139</v>
      </c>
      <c r="S4" s="2">
        <f t="shared" si="5"/>
        <v>17879</v>
      </c>
      <c r="Y4">
        <f>Financial_Data!C4/Financial_Data!B4</f>
        <v>0.64186284544524053</v>
      </c>
      <c r="Z4">
        <f>Financial_Data!E4/Financial_Data!G4</f>
        <v>0.1749336265072923</v>
      </c>
    </row>
    <row r="5" spans="1:26" x14ac:dyDescent="0.2">
      <c r="A5">
        <v>2023</v>
      </c>
      <c r="B5" s="2">
        <v>32653</v>
      </c>
      <c r="C5" s="2">
        <v>21000</v>
      </c>
      <c r="D5" s="2">
        <v>21037</v>
      </c>
      <c r="E5" s="2">
        <v>17273</v>
      </c>
      <c r="G5" s="2">
        <v>90499</v>
      </c>
      <c r="H5" s="2">
        <v>38492</v>
      </c>
      <c r="J5" s="2">
        <v>20755</v>
      </c>
      <c r="K5" s="2">
        <v>1059</v>
      </c>
      <c r="L5" s="1">
        <v>943</v>
      </c>
      <c r="N5" s="4">
        <f t="shared" si="0"/>
        <v>0.52898661684990655</v>
      </c>
      <c r="O5">
        <f t="shared" si="1"/>
        <v>0.36081061669189712</v>
      </c>
      <c r="P5">
        <f t="shared" si="2"/>
        <v>2.3511119193598669</v>
      </c>
      <c r="Q5">
        <f t="shared" si="3"/>
        <v>1.2015862907427777</v>
      </c>
      <c r="R5" s="4">
        <f t="shared" si="4"/>
        <v>0.53920295126259998</v>
      </c>
      <c r="S5" s="2">
        <f t="shared" si="5"/>
        <v>19696</v>
      </c>
      <c r="T5" s="2">
        <v>8635</v>
      </c>
      <c r="U5" s="2">
        <v>18342</v>
      </c>
      <c r="V5" s="2">
        <f>T5-U5</f>
        <v>-9707</v>
      </c>
      <c r="Y5">
        <f>Financial_Data!C5/Financial_Data!B5</f>
        <v>0.64312620586163594</v>
      </c>
      <c r="Z5">
        <f>Financial_Data!E5/Financial_Data!G5</f>
        <v>0.19086398744737512</v>
      </c>
    </row>
    <row r="6" spans="1:26" x14ac:dyDescent="0.2">
      <c r="A6">
        <v>2024</v>
      </c>
      <c r="B6" s="2">
        <v>35926</v>
      </c>
      <c r="C6" s="2">
        <v>23595</v>
      </c>
      <c r="D6" s="2">
        <v>23916</v>
      </c>
      <c r="E6" s="2">
        <v>19743</v>
      </c>
      <c r="G6" s="2">
        <v>94511</v>
      </c>
      <c r="H6" s="2">
        <v>39137</v>
      </c>
      <c r="J6" s="2">
        <v>19950</v>
      </c>
      <c r="K6" s="2">
        <v>1257</v>
      </c>
      <c r="L6" s="3">
        <v>1034</v>
      </c>
      <c r="N6" s="4">
        <f t="shared" si="0"/>
        <v>0.54954628959527918</v>
      </c>
      <c r="O6">
        <f t="shared" si="1"/>
        <v>0.3801250648072711</v>
      </c>
      <c r="P6">
        <f t="shared" si="2"/>
        <v>2.4148759485908475</v>
      </c>
      <c r="Q6">
        <f t="shared" si="3"/>
        <v>1.0104847287646255</v>
      </c>
      <c r="R6" s="4">
        <f t="shared" si="4"/>
        <v>0.50974780897871586</v>
      </c>
      <c r="S6" s="2">
        <f t="shared" si="5"/>
        <v>18693</v>
      </c>
      <c r="T6" s="2">
        <v>12245</v>
      </c>
      <c r="U6" s="2">
        <v>21266</v>
      </c>
      <c r="V6" s="2">
        <f>T6-U6</f>
        <v>-9021</v>
      </c>
      <c r="W6" t="s">
        <v>24</v>
      </c>
      <c r="X6" s="2">
        <f>V6-V5</f>
        <v>686</v>
      </c>
      <c r="Y6">
        <f>Financial_Data!C6/Financial_Data!B6</f>
        <v>0.65676668707899566</v>
      </c>
      <c r="Z6">
        <f>Financial_Data!E6/Financial_Data!G6</f>
        <v>0.20889631894700089</v>
      </c>
    </row>
    <row r="7" spans="1:26" x14ac:dyDescent="0.2">
      <c r="L7" s="1"/>
    </row>
    <row r="8" spans="1:26" x14ac:dyDescent="0.2">
      <c r="L8" s="1"/>
    </row>
    <row r="9" spans="1:26" x14ac:dyDescent="0.2">
      <c r="L9" s="1"/>
    </row>
    <row r="10" spans="1:26" x14ac:dyDescent="0.2">
      <c r="L10" s="1"/>
    </row>
    <row r="11" spans="1:26" x14ac:dyDescent="0.2">
      <c r="L11" s="1"/>
    </row>
    <row r="12" spans="1:26" x14ac:dyDescent="0.2">
      <c r="L12" s="1"/>
    </row>
    <row r="13" spans="1:26" x14ac:dyDescent="0.2">
      <c r="L13" s="1"/>
    </row>
    <row r="14" spans="1:26" x14ac:dyDescent="0.2">
      <c r="L14" s="1"/>
    </row>
    <row r="15" spans="1:26" x14ac:dyDescent="0.2">
      <c r="L15" s="1"/>
    </row>
    <row r="16" spans="1:26" x14ac:dyDescent="0.2">
      <c r="L16" s="1"/>
    </row>
    <row r="17" spans="12:12" x14ac:dyDescent="0.2">
      <c r="L17" s="1"/>
    </row>
    <row r="18" spans="12:12" x14ac:dyDescent="0.2">
      <c r="L18" s="1"/>
    </row>
    <row r="19" spans="12:12" x14ac:dyDescent="0.2">
      <c r="L19" s="1"/>
    </row>
    <row r="20" spans="12:12" x14ac:dyDescent="0.2">
      <c r="L20" s="1"/>
    </row>
    <row r="21" spans="12:12" x14ac:dyDescent="0.2">
      <c r="L21" s="1"/>
    </row>
    <row r="22" spans="12:12" x14ac:dyDescent="0.2">
      <c r="L22" s="1"/>
    </row>
    <row r="23" spans="12:12" x14ac:dyDescent="0.2">
      <c r="L23" s="1"/>
    </row>
    <row r="24" spans="12:12" x14ac:dyDescent="0.2">
      <c r="L24" s="1"/>
    </row>
    <row r="25" spans="12:12" x14ac:dyDescent="0.2">
      <c r="L25" s="1"/>
    </row>
    <row r="26" spans="12:12" x14ac:dyDescent="0.2">
      <c r="L26" s="1"/>
    </row>
    <row r="27" spans="12:12" x14ac:dyDescent="0.2">
      <c r="L27" s="1"/>
    </row>
    <row r="28" spans="12:12" x14ac:dyDescent="0.2">
      <c r="L28" s="1"/>
    </row>
    <row r="29" spans="12:12" x14ac:dyDescent="0.2">
      <c r="L29" s="1"/>
    </row>
    <row r="30" spans="12:12" x14ac:dyDescent="0.2">
      <c r="L30" s="1"/>
    </row>
    <row r="31" spans="12:12" x14ac:dyDescent="0.2">
      <c r="L31" s="1"/>
    </row>
    <row r="32" spans="12:12" x14ac:dyDescent="0.2">
      <c r="L32" s="1"/>
    </row>
    <row r="33" spans="12:12" x14ac:dyDescent="0.2">
      <c r="L33" s="1"/>
    </row>
    <row r="34" spans="12:12" x14ac:dyDescent="0.2">
      <c r="L34" s="1"/>
    </row>
    <row r="35" spans="12:12" x14ac:dyDescent="0.2">
      <c r="L35" s="1"/>
    </row>
    <row r="36" spans="12:12" x14ac:dyDescent="0.2">
      <c r="L36" s="1"/>
    </row>
    <row r="37" spans="12:12" x14ac:dyDescent="0.2">
      <c r="L37" s="1"/>
    </row>
    <row r="38" spans="12:12" x14ac:dyDescent="0.2">
      <c r="L38" s="1"/>
    </row>
    <row r="39" spans="12:12" x14ac:dyDescent="0.2">
      <c r="L39" s="1"/>
    </row>
    <row r="40" spans="12:12" x14ac:dyDescent="0.2">
      <c r="L40" s="1"/>
    </row>
    <row r="41" spans="12:12" x14ac:dyDescent="0.2">
      <c r="L41" s="1"/>
    </row>
    <row r="42" spans="12:12" x14ac:dyDescent="0.2">
      <c r="L42" s="1"/>
    </row>
    <row r="43" spans="12:12" x14ac:dyDescent="0.2">
      <c r="L43" s="1"/>
    </row>
    <row r="44" spans="12:12" x14ac:dyDescent="0.2">
      <c r="L44" s="1"/>
    </row>
    <row r="45" spans="12:12" x14ac:dyDescent="0.2">
      <c r="L45" s="1"/>
    </row>
    <row r="46" spans="12:12" x14ac:dyDescent="0.2">
      <c r="L46" s="1"/>
    </row>
    <row r="47" spans="12:12" x14ac:dyDescent="0.2">
      <c r="L47" s="1"/>
    </row>
    <row r="48" spans="12:12" x14ac:dyDescent="0.2">
      <c r="L48" s="1"/>
    </row>
    <row r="49" spans="12:12" x14ac:dyDescent="0.2">
      <c r="L49" s="1"/>
    </row>
    <row r="50" spans="12:12" x14ac:dyDescent="0.2">
      <c r="L50" s="1"/>
    </row>
    <row r="51" spans="12:12" x14ac:dyDescent="0.2">
      <c r="L51" s="1"/>
    </row>
    <row r="52" spans="12:12" x14ac:dyDescent="0.2">
      <c r="L52" s="1"/>
    </row>
    <row r="53" spans="12:12" x14ac:dyDescent="0.2">
      <c r="L53" s="1"/>
    </row>
    <row r="54" spans="12:12" x14ac:dyDescent="0.2">
      <c r="L54" s="1"/>
    </row>
    <row r="55" spans="12:12" x14ac:dyDescent="0.2">
      <c r="L55" s="1"/>
    </row>
    <row r="56" spans="12:12" x14ac:dyDescent="0.2">
      <c r="L56" s="1"/>
    </row>
    <row r="57" spans="12:12" x14ac:dyDescent="0.2">
      <c r="L57" s="1"/>
    </row>
    <row r="58" spans="12:12" x14ac:dyDescent="0.2">
      <c r="L58" s="1"/>
    </row>
    <row r="59" spans="12:12" x14ac:dyDescent="0.2">
      <c r="L59" s="1"/>
    </row>
    <row r="60" spans="12:12" x14ac:dyDescent="0.2">
      <c r="L60" s="1"/>
    </row>
    <row r="61" spans="12:12" x14ac:dyDescent="0.2">
      <c r="L61" s="1"/>
    </row>
    <row r="62" spans="12:12" x14ac:dyDescent="0.2">
      <c r="L62" s="1"/>
    </row>
    <row r="63" spans="12:12" x14ac:dyDescent="0.2">
      <c r="L63" s="1"/>
    </row>
    <row r="64" spans="12:12" x14ac:dyDescent="0.2">
      <c r="L64" s="1"/>
    </row>
    <row r="65" spans="12:12" x14ac:dyDescent="0.2">
      <c r="L65" s="1"/>
    </row>
    <row r="66" spans="12:12" x14ac:dyDescent="0.2">
      <c r="L66" s="1"/>
    </row>
    <row r="67" spans="12:12" x14ac:dyDescent="0.2">
      <c r="L67" s="1"/>
    </row>
    <row r="68" spans="12:12" x14ac:dyDescent="0.2">
      <c r="L68" s="1"/>
    </row>
    <row r="69" spans="12:12" x14ac:dyDescent="0.2">
      <c r="L69" s="1"/>
    </row>
    <row r="70" spans="12:12" x14ac:dyDescent="0.2">
      <c r="L70" s="1"/>
    </row>
    <row r="71" spans="12:12" x14ac:dyDescent="0.2">
      <c r="L71" s="1"/>
    </row>
    <row r="72" spans="12:12" x14ac:dyDescent="0.2">
      <c r="L72" s="1"/>
    </row>
    <row r="73" spans="12:12" x14ac:dyDescent="0.2">
      <c r="L73" s="1"/>
    </row>
    <row r="74" spans="12:12" x14ac:dyDescent="0.2">
      <c r="L74" s="1"/>
    </row>
    <row r="75" spans="12:12" x14ac:dyDescent="0.2">
      <c r="L75" s="1"/>
    </row>
    <row r="76" spans="12:12" x14ac:dyDescent="0.2">
      <c r="L76" s="1"/>
    </row>
    <row r="77" spans="12:12" x14ac:dyDescent="0.2">
      <c r="L77" s="1"/>
    </row>
    <row r="78" spans="12:12" x14ac:dyDescent="0.2">
      <c r="L78" s="1"/>
    </row>
    <row r="79" spans="12:12" x14ac:dyDescent="0.2">
      <c r="L79" s="1"/>
    </row>
    <row r="80" spans="12:12" x14ac:dyDescent="0.2">
      <c r="L80" s="1"/>
    </row>
    <row r="81" spans="12:12" x14ac:dyDescent="0.2">
      <c r="L81" s="1"/>
    </row>
    <row r="82" spans="12:12" x14ac:dyDescent="0.2">
      <c r="L82" s="1"/>
    </row>
    <row r="83" spans="12:12" x14ac:dyDescent="0.2">
      <c r="L83" s="1"/>
    </row>
    <row r="84" spans="12:12" x14ac:dyDescent="0.2">
      <c r="L84" s="1"/>
    </row>
    <row r="85" spans="12:12" x14ac:dyDescent="0.2">
      <c r="L85" s="1"/>
    </row>
    <row r="86" spans="12:12" x14ac:dyDescent="0.2">
      <c r="L86" s="1"/>
    </row>
    <row r="87" spans="12:12" x14ac:dyDescent="0.2">
      <c r="L87" s="1"/>
    </row>
    <row r="88" spans="12:12" x14ac:dyDescent="0.2">
      <c r="L88" s="1"/>
    </row>
    <row r="89" spans="12:12" x14ac:dyDescent="0.2">
      <c r="L89" s="1"/>
    </row>
    <row r="90" spans="12:12" x14ac:dyDescent="0.2">
      <c r="L90" s="1"/>
    </row>
    <row r="91" spans="12:12" x14ac:dyDescent="0.2">
      <c r="L91" s="1"/>
    </row>
    <row r="92" spans="12:12" x14ac:dyDescent="0.2">
      <c r="L92" s="1"/>
    </row>
    <row r="93" spans="12:12" x14ac:dyDescent="0.2">
      <c r="L93" s="1"/>
    </row>
    <row r="94" spans="12:12" x14ac:dyDescent="0.2">
      <c r="L94" s="1"/>
    </row>
    <row r="95" spans="12:12" x14ac:dyDescent="0.2">
      <c r="L95" s="1"/>
    </row>
    <row r="96" spans="12:12" x14ac:dyDescent="0.2">
      <c r="L96" s="1"/>
    </row>
    <row r="97" spans="12:12" x14ac:dyDescent="0.2">
      <c r="L97" s="1"/>
    </row>
    <row r="98" spans="12:12" x14ac:dyDescent="0.2">
      <c r="L98" s="1"/>
    </row>
    <row r="99" spans="12:12" x14ac:dyDescent="0.2">
      <c r="L99" s="1"/>
    </row>
    <row r="100" spans="12:12" x14ac:dyDescent="0.2">
      <c r="L100" s="1"/>
    </row>
    <row r="101" spans="12:12" x14ac:dyDescent="0.2">
      <c r="L101" s="1"/>
    </row>
    <row r="102" spans="12:12" x14ac:dyDescent="0.2">
      <c r="L102" s="1"/>
    </row>
    <row r="103" spans="12:12" x14ac:dyDescent="0.2">
      <c r="L103" s="1"/>
    </row>
    <row r="104" spans="12:12" x14ac:dyDescent="0.2">
      <c r="L104" s="1"/>
    </row>
    <row r="105" spans="12:12" x14ac:dyDescent="0.2">
      <c r="L105" s="1"/>
    </row>
    <row r="106" spans="12:12" x14ac:dyDescent="0.2">
      <c r="L106" s="1"/>
    </row>
    <row r="107" spans="12:12" x14ac:dyDescent="0.2">
      <c r="L107" s="1"/>
    </row>
    <row r="108" spans="12:12" x14ac:dyDescent="0.2">
      <c r="L108" s="1"/>
    </row>
    <row r="109" spans="12:12" x14ac:dyDescent="0.2">
      <c r="L109" s="1"/>
    </row>
    <row r="110" spans="12:12" x14ac:dyDescent="0.2">
      <c r="L110" s="1"/>
    </row>
    <row r="111" spans="12:12" x14ac:dyDescent="0.2">
      <c r="L111" s="1"/>
    </row>
    <row r="112" spans="12:12" x14ac:dyDescent="0.2">
      <c r="L112" s="1"/>
    </row>
    <row r="113" spans="12:12" x14ac:dyDescent="0.2">
      <c r="L113" s="1"/>
    </row>
    <row r="114" spans="12:12" x14ac:dyDescent="0.2">
      <c r="L114" s="1"/>
    </row>
    <row r="115" spans="12:12" x14ac:dyDescent="0.2">
      <c r="L115" s="1"/>
    </row>
    <row r="116" spans="12:12" x14ac:dyDescent="0.2">
      <c r="L116" s="1"/>
    </row>
    <row r="117" spans="12:12" x14ac:dyDescent="0.2">
      <c r="L117" s="1"/>
    </row>
    <row r="118" spans="12:12" x14ac:dyDescent="0.2">
      <c r="L118" s="1"/>
    </row>
    <row r="119" spans="12:12" x14ac:dyDescent="0.2">
      <c r="L119" s="1"/>
    </row>
    <row r="120" spans="12:12" x14ac:dyDescent="0.2">
      <c r="L120" s="1"/>
    </row>
    <row r="121" spans="12:12" x14ac:dyDescent="0.2">
      <c r="L121" s="1"/>
    </row>
    <row r="122" spans="12:12" x14ac:dyDescent="0.2">
      <c r="L122" s="1"/>
    </row>
    <row r="123" spans="12:12" x14ac:dyDescent="0.2">
      <c r="L123" s="1"/>
    </row>
    <row r="124" spans="12:12" x14ac:dyDescent="0.2">
      <c r="L124" s="1"/>
    </row>
    <row r="125" spans="12:12" x14ac:dyDescent="0.2">
      <c r="L125" s="1"/>
    </row>
    <row r="126" spans="12:12" x14ac:dyDescent="0.2">
      <c r="L126" s="1"/>
    </row>
    <row r="127" spans="12:12" x14ac:dyDescent="0.2">
      <c r="L127" s="1"/>
    </row>
    <row r="128" spans="12:12" x14ac:dyDescent="0.2">
      <c r="L128" s="1"/>
    </row>
    <row r="129" spans="12:12" x14ac:dyDescent="0.2">
      <c r="L129" s="1"/>
    </row>
    <row r="130" spans="12:12" x14ac:dyDescent="0.2">
      <c r="L130" s="1"/>
    </row>
    <row r="131" spans="12:12" x14ac:dyDescent="0.2">
      <c r="L131" s="1"/>
    </row>
    <row r="132" spans="12:12" x14ac:dyDescent="0.2">
      <c r="L132" s="1"/>
    </row>
    <row r="133" spans="12:12" x14ac:dyDescent="0.2">
      <c r="L133" s="1"/>
    </row>
    <row r="134" spans="12:12" x14ac:dyDescent="0.2">
      <c r="L134" s="1"/>
    </row>
    <row r="135" spans="12:12" x14ac:dyDescent="0.2">
      <c r="L135" s="1"/>
    </row>
    <row r="136" spans="12:12" x14ac:dyDescent="0.2">
      <c r="L136" s="1"/>
    </row>
    <row r="137" spans="12:12" x14ac:dyDescent="0.2">
      <c r="L137" s="1"/>
    </row>
    <row r="138" spans="12:12" x14ac:dyDescent="0.2">
      <c r="L138" s="1"/>
    </row>
    <row r="139" spans="12:12" x14ac:dyDescent="0.2">
      <c r="L139" s="1"/>
    </row>
    <row r="140" spans="12:12" x14ac:dyDescent="0.2">
      <c r="L140" s="1"/>
    </row>
    <row r="141" spans="12:12" x14ac:dyDescent="0.2">
      <c r="L141" s="1"/>
    </row>
    <row r="142" spans="12:12" x14ac:dyDescent="0.2">
      <c r="L142" s="1"/>
    </row>
    <row r="143" spans="12:12" x14ac:dyDescent="0.2">
      <c r="L143" s="1"/>
    </row>
    <row r="144" spans="12:12" x14ac:dyDescent="0.2">
      <c r="L144" s="1"/>
    </row>
    <row r="145" spans="12:12" x14ac:dyDescent="0.2">
      <c r="L145" s="1"/>
    </row>
    <row r="146" spans="12:12" x14ac:dyDescent="0.2">
      <c r="L146" s="1"/>
    </row>
    <row r="147" spans="12:12" x14ac:dyDescent="0.2">
      <c r="L147" s="1"/>
    </row>
    <row r="148" spans="12:12" x14ac:dyDescent="0.2">
      <c r="L148" s="1"/>
    </row>
    <row r="149" spans="12:12" x14ac:dyDescent="0.2">
      <c r="L149" s="1"/>
    </row>
    <row r="150" spans="12:12" x14ac:dyDescent="0.2">
      <c r="L150" s="1"/>
    </row>
    <row r="151" spans="12:12" x14ac:dyDescent="0.2">
      <c r="L151" s="1"/>
    </row>
    <row r="152" spans="12:12" x14ac:dyDescent="0.2">
      <c r="L152" s="1"/>
    </row>
    <row r="153" spans="12:12" x14ac:dyDescent="0.2">
      <c r="L153" s="1"/>
    </row>
    <row r="154" spans="12:12" x14ac:dyDescent="0.2">
      <c r="L154" s="1"/>
    </row>
    <row r="155" spans="12:12" x14ac:dyDescent="0.2">
      <c r="L155" s="1"/>
    </row>
    <row r="156" spans="12:12" x14ac:dyDescent="0.2">
      <c r="L156" s="1"/>
    </row>
    <row r="157" spans="12:12" x14ac:dyDescent="0.2">
      <c r="L157" s="1"/>
    </row>
    <row r="158" spans="12:12" x14ac:dyDescent="0.2">
      <c r="L158" s="1"/>
    </row>
    <row r="159" spans="12:12" x14ac:dyDescent="0.2">
      <c r="L159" s="1"/>
    </row>
    <row r="160" spans="12:12" x14ac:dyDescent="0.2">
      <c r="L160" s="1"/>
    </row>
    <row r="161" spans="12:12" x14ac:dyDescent="0.2">
      <c r="L161" s="1"/>
    </row>
    <row r="162" spans="12:12" x14ac:dyDescent="0.2">
      <c r="L162" s="1"/>
    </row>
    <row r="163" spans="12:12" x14ac:dyDescent="0.2">
      <c r="L163" s="1"/>
    </row>
    <row r="164" spans="12:12" x14ac:dyDescent="0.2">
      <c r="L164" s="1"/>
    </row>
    <row r="165" spans="12:12" x14ac:dyDescent="0.2">
      <c r="L165" s="1"/>
    </row>
    <row r="166" spans="12:12" x14ac:dyDescent="0.2">
      <c r="L166" s="1"/>
    </row>
    <row r="167" spans="12:12" x14ac:dyDescent="0.2">
      <c r="L167" s="1"/>
    </row>
    <row r="168" spans="12:12" x14ac:dyDescent="0.2">
      <c r="L168" s="1"/>
    </row>
    <row r="169" spans="12:12" x14ac:dyDescent="0.2">
      <c r="L169" s="1"/>
    </row>
    <row r="170" spans="12:12" x14ac:dyDescent="0.2">
      <c r="L170" s="1"/>
    </row>
    <row r="171" spans="12:12" x14ac:dyDescent="0.2">
      <c r="L171" s="1"/>
    </row>
    <row r="172" spans="12:12" x14ac:dyDescent="0.2">
      <c r="L172" s="1"/>
    </row>
    <row r="173" spans="12:12" x14ac:dyDescent="0.2">
      <c r="L173" s="1"/>
    </row>
    <row r="174" spans="12:12" x14ac:dyDescent="0.2">
      <c r="L174" s="1"/>
    </row>
    <row r="175" spans="12:12" x14ac:dyDescent="0.2">
      <c r="L175" s="1"/>
    </row>
    <row r="176" spans="12:12" x14ac:dyDescent="0.2">
      <c r="L176" s="1"/>
    </row>
    <row r="177" spans="12:12" x14ac:dyDescent="0.2">
      <c r="L177" s="1"/>
    </row>
    <row r="178" spans="12:12" x14ac:dyDescent="0.2">
      <c r="L178" s="1"/>
    </row>
    <row r="179" spans="12:12" x14ac:dyDescent="0.2">
      <c r="L179" s="1"/>
    </row>
    <row r="180" spans="12:12" x14ac:dyDescent="0.2">
      <c r="L180" s="1"/>
    </row>
    <row r="181" spans="12:12" x14ac:dyDescent="0.2">
      <c r="L181" s="1"/>
    </row>
    <row r="182" spans="12:12" x14ac:dyDescent="0.2">
      <c r="L182" s="1"/>
    </row>
    <row r="183" spans="12:12" x14ac:dyDescent="0.2">
      <c r="L183" s="1"/>
    </row>
    <row r="184" spans="12:12" x14ac:dyDescent="0.2">
      <c r="L184" s="1"/>
    </row>
    <row r="185" spans="12:12" x14ac:dyDescent="0.2">
      <c r="L185" s="1"/>
    </row>
    <row r="186" spans="12:12" x14ac:dyDescent="0.2">
      <c r="L186" s="1"/>
    </row>
    <row r="187" spans="12:12" x14ac:dyDescent="0.2">
      <c r="L187" s="1"/>
    </row>
    <row r="188" spans="12:12" x14ac:dyDescent="0.2">
      <c r="L188" s="1"/>
    </row>
    <row r="189" spans="12:12" x14ac:dyDescent="0.2">
      <c r="L189" s="1"/>
    </row>
    <row r="190" spans="12:12" x14ac:dyDescent="0.2">
      <c r="L190" s="1"/>
    </row>
    <row r="191" spans="12:12" x14ac:dyDescent="0.2">
      <c r="L191" s="1"/>
    </row>
    <row r="192" spans="12:12" x14ac:dyDescent="0.2">
      <c r="L192" s="1"/>
    </row>
    <row r="193" spans="12:12" x14ac:dyDescent="0.2">
      <c r="L193" s="1"/>
    </row>
    <row r="194" spans="12:12" x14ac:dyDescent="0.2">
      <c r="L194" s="1"/>
    </row>
    <row r="195" spans="12:12" x14ac:dyDescent="0.2">
      <c r="L195" s="1"/>
    </row>
    <row r="196" spans="12:12" x14ac:dyDescent="0.2">
      <c r="L196" s="1"/>
    </row>
    <row r="197" spans="12:12" x14ac:dyDescent="0.2">
      <c r="L197" s="1"/>
    </row>
    <row r="198" spans="12:12" x14ac:dyDescent="0.2">
      <c r="L198" s="1"/>
    </row>
    <row r="199" spans="12:12" x14ac:dyDescent="0.2">
      <c r="L199" s="1"/>
    </row>
    <row r="200" spans="12:12" x14ac:dyDescent="0.2">
      <c r="L200" s="1"/>
    </row>
    <row r="201" spans="12:12" x14ac:dyDescent="0.2">
      <c r="L201" s="1"/>
    </row>
    <row r="202" spans="12:12" x14ac:dyDescent="0.2">
      <c r="L202" s="1"/>
    </row>
    <row r="203" spans="12:12" x14ac:dyDescent="0.2">
      <c r="L203" s="1"/>
    </row>
    <row r="204" spans="12:12" x14ac:dyDescent="0.2">
      <c r="L204" s="1"/>
    </row>
    <row r="205" spans="12:12" x14ac:dyDescent="0.2">
      <c r="L205" s="1"/>
    </row>
    <row r="206" spans="12:12" x14ac:dyDescent="0.2">
      <c r="L206" s="1"/>
    </row>
    <row r="207" spans="12:12" x14ac:dyDescent="0.2">
      <c r="L207" s="1"/>
    </row>
    <row r="208" spans="12:12" x14ac:dyDescent="0.2">
      <c r="L208" s="1"/>
    </row>
    <row r="209" spans="12:12" x14ac:dyDescent="0.2">
      <c r="L209" s="1"/>
    </row>
    <row r="210" spans="12:12" x14ac:dyDescent="0.2">
      <c r="L210" s="1"/>
    </row>
    <row r="211" spans="12:12" x14ac:dyDescent="0.2">
      <c r="L211" s="1"/>
    </row>
    <row r="212" spans="12:12" x14ac:dyDescent="0.2">
      <c r="L212" s="1"/>
    </row>
    <row r="213" spans="12:12" x14ac:dyDescent="0.2">
      <c r="L213" s="1"/>
    </row>
    <row r="214" spans="12:12" x14ac:dyDescent="0.2">
      <c r="L214" s="1"/>
    </row>
    <row r="215" spans="12:12" x14ac:dyDescent="0.2">
      <c r="L215" s="1"/>
    </row>
    <row r="216" spans="12:12" x14ac:dyDescent="0.2">
      <c r="L216" s="1"/>
    </row>
    <row r="217" spans="12:12" x14ac:dyDescent="0.2">
      <c r="L217" s="1"/>
    </row>
    <row r="218" spans="12:12" x14ac:dyDescent="0.2">
      <c r="L218" s="1"/>
    </row>
    <row r="219" spans="12:12" x14ac:dyDescent="0.2">
      <c r="L219" s="1"/>
    </row>
    <row r="220" spans="12:12" x14ac:dyDescent="0.2">
      <c r="L220" s="1"/>
    </row>
    <row r="221" spans="12:12" x14ac:dyDescent="0.2">
      <c r="L221" s="1"/>
    </row>
    <row r="222" spans="12:12" x14ac:dyDescent="0.2">
      <c r="L222" s="1"/>
    </row>
    <row r="223" spans="12:12" x14ac:dyDescent="0.2">
      <c r="L223" s="1"/>
    </row>
    <row r="224" spans="12:12" x14ac:dyDescent="0.2">
      <c r="L224" s="1"/>
    </row>
    <row r="225" spans="12:12" x14ac:dyDescent="0.2">
      <c r="L225" s="1"/>
    </row>
    <row r="226" spans="12:12" x14ac:dyDescent="0.2">
      <c r="L226" s="1"/>
    </row>
    <row r="227" spans="12:12" x14ac:dyDescent="0.2">
      <c r="L227" s="1"/>
    </row>
    <row r="228" spans="12:12" x14ac:dyDescent="0.2">
      <c r="L228" s="1"/>
    </row>
    <row r="229" spans="12:12" x14ac:dyDescent="0.2">
      <c r="L229" s="1"/>
    </row>
    <row r="230" spans="12:12" x14ac:dyDescent="0.2">
      <c r="L230" s="1"/>
    </row>
    <row r="231" spans="12:12" x14ac:dyDescent="0.2">
      <c r="L231" s="1"/>
    </row>
    <row r="232" spans="12:12" x14ac:dyDescent="0.2">
      <c r="L232" s="1"/>
    </row>
    <row r="233" spans="12:12" x14ac:dyDescent="0.2">
      <c r="L233" s="1"/>
    </row>
    <row r="234" spans="12:12" x14ac:dyDescent="0.2">
      <c r="L234" s="1"/>
    </row>
    <row r="235" spans="12:12" x14ac:dyDescent="0.2">
      <c r="L235" s="1"/>
    </row>
    <row r="236" spans="12:12" x14ac:dyDescent="0.2">
      <c r="L236" s="1"/>
    </row>
    <row r="237" spans="12:12" x14ac:dyDescent="0.2">
      <c r="L237" s="1"/>
    </row>
    <row r="238" spans="12:12" x14ac:dyDescent="0.2">
      <c r="L238" s="1"/>
    </row>
    <row r="239" spans="12:12" x14ac:dyDescent="0.2">
      <c r="L239" s="1"/>
    </row>
    <row r="240" spans="12:12" x14ac:dyDescent="0.2">
      <c r="L240" s="1"/>
    </row>
    <row r="241" spans="12:12" x14ac:dyDescent="0.2">
      <c r="L241" s="1"/>
    </row>
    <row r="242" spans="12:12" x14ac:dyDescent="0.2">
      <c r="L242" s="1"/>
    </row>
    <row r="243" spans="12:12" x14ac:dyDescent="0.2">
      <c r="L243" s="1"/>
    </row>
    <row r="244" spans="12:12" x14ac:dyDescent="0.2">
      <c r="L244" s="1"/>
    </row>
    <row r="245" spans="12:12" x14ac:dyDescent="0.2">
      <c r="L245" s="1"/>
    </row>
    <row r="246" spans="12:12" x14ac:dyDescent="0.2">
      <c r="L246" s="1"/>
    </row>
    <row r="247" spans="12:12" x14ac:dyDescent="0.2">
      <c r="L247" s="1"/>
    </row>
    <row r="248" spans="12:12" x14ac:dyDescent="0.2">
      <c r="L248" s="1"/>
    </row>
    <row r="249" spans="12:12" x14ac:dyDescent="0.2">
      <c r="L249" s="1"/>
    </row>
    <row r="250" spans="12:12" x14ac:dyDescent="0.2">
      <c r="L250" s="1"/>
    </row>
    <row r="251" spans="12:12" x14ac:dyDescent="0.2">
      <c r="L251" s="1"/>
    </row>
    <row r="252" spans="12:12" x14ac:dyDescent="0.2">
      <c r="L252" s="1"/>
    </row>
    <row r="253" spans="12:12" x14ac:dyDescent="0.2">
      <c r="L253" s="1"/>
    </row>
    <row r="254" spans="12:12" x14ac:dyDescent="0.2">
      <c r="L254" s="1"/>
    </row>
    <row r="255" spans="12:12" x14ac:dyDescent="0.2">
      <c r="L255" s="1"/>
    </row>
    <row r="256" spans="12:12" x14ac:dyDescent="0.2">
      <c r="L256" s="1"/>
    </row>
    <row r="257" spans="12:12" x14ac:dyDescent="0.2">
      <c r="L257" s="1"/>
    </row>
    <row r="258" spans="12:12" x14ac:dyDescent="0.2">
      <c r="L258" s="1"/>
    </row>
    <row r="259" spans="12:12" x14ac:dyDescent="0.2">
      <c r="L259" s="1"/>
    </row>
    <row r="260" spans="12:12" x14ac:dyDescent="0.2">
      <c r="L260" s="1"/>
    </row>
    <row r="261" spans="12:12" x14ac:dyDescent="0.2">
      <c r="L261" s="1"/>
    </row>
    <row r="262" spans="12:12" x14ac:dyDescent="0.2">
      <c r="L262" s="1"/>
    </row>
    <row r="263" spans="12:12" x14ac:dyDescent="0.2">
      <c r="L263" s="1"/>
    </row>
    <row r="264" spans="12:12" x14ac:dyDescent="0.2">
      <c r="L264" s="1"/>
    </row>
    <row r="265" spans="12:12" x14ac:dyDescent="0.2">
      <c r="L265" s="1"/>
    </row>
    <row r="266" spans="12:12" x14ac:dyDescent="0.2">
      <c r="L266" s="1"/>
    </row>
    <row r="267" spans="12:12" x14ac:dyDescent="0.2">
      <c r="L267" s="1"/>
    </row>
    <row r="268" spans="12:12" x14ac:dyDescent="0.2">
      <c r="L268" s="1"/>
    </row>
    <row r="269" spans="12:12" x14ac:dyDescent="0.2">
      <c r="L269" s="1"/>
    </row>
    <row r="270" spans="12:12" x14ac:dyDescent="0.2">
      <c r="L270" s="1"/>
    </row>
    <row r="271" spans="12:12" x14ac:dyDescent="0.2">
      <c r="L271" s="1"/>
    </row>
    <row r="272" spans="12:12" x14ac:dyDescent="0.2">
      <c r="L272" s="1"/>
    </row>
    <row r="273" spans="12:12" x14ac:dyDescent="0.2">
      <c r="L273" s="1"/>
    </row>
    <row r="274" spans="12:12" x14ac:dyDescent="0.2">
      <c r="L274" s="1"/>
    </row>
    <row r="275" spans="12:12" x14ac:dyDescent="0.2">
      <c r="L275" s="1"/>
    </row>
    <row r="276" spans="12:12" x14ac:dyDescent="0.2">
      <c r="L276" s="1"/>
    </row>
    <row r="277" spans="12:12" x14ac:dyDescent="0.2">
      <c r="L277" s="1"/>
    </row>
    <row r="278" spans="12:12" x14ac:dyDescent="0.2">
      <c r="L278" s="1"/>
    </row>
    <row r="279" spans="12:12" x14ac:dyDescent="0.2">
      <c r="L279" s="1"/>
    </row>
    <row r="280" spans="12:12" x14ac:dyDescent="0.2">
      <c r="L280" s="1"/>
    </row>
    <row r="281" spans="12:12" x14ac:dyDescent="0.2">
      <c r="L281" s="1"/>
    </row>
    <row r="282" spans="12:12" x14ac:dyDescent="0.2">
      <c r="L282" s="1"/>
    </row>
    <row r="283" spans="12:12" x14ac:dyDescent="0.2">
      <c r="L283" s="1"/>
    </row>
    <row r="284" spans="12:12" x14ac:dyDescent="0.2">
      <c r="L284" s="1"/>
    </row>
    <row r="285" spans="12:12" x14ac:dyDescent="0.2">
      <c r="L285" s="1"/>
    </row>
    <row r="286" spans="12:12" x14ac:dyDescent="0.2">
      <c r="L286" s="1"/>
    </row>
    <row r="287" spans="12:12" x14ac:dyDescent="0.2">
      <c r="L287" s="1"/>
    </row>
    <row r="288" spans="12:12" x14ac:dyDescent="0.2">
      <c r="L288" s="1"/>
    </row>
    <row r="289" spans="12:12" x14ac:dyDescent="0.2">
      <c r="L289" s="1"/>
    </row>
    <row r="290" spans="12:12" x14ac:dyDescent="0.2">
      <c r="L290" s="1"/>
    </row>
    <row r="291" spans="12:12" x14ac:dyDescent="0.2">
      <c r="L291" s="1"/>
    </row>
    <row r="292" spans="12:12" x14ac:dyDescent="0.2">
      <c r="L292" s="1"/>
    </row>
    <row r="293" spans="12:12" x14ac:dyDescent="0.2">
      <c r="L293" s="1"/>
    </row>
    <row r="294" spans="12:12" x14ac:dyDescent="0.2">
      <c r="L294" s="1"/>
    </row>
    <row r="295" spans="12:12" x14ac:dyDescent="0.2">
      <c r="L295" s="1"/>
    </row>
    <row r="296" spans="12:12" x14ac:dyDescent="0.2">
      <c r="L296" s="1"/>
    </row>
    <row r="297" spans="12:12" x14ac:dyDescent="0.2">
      <c r="L297" s="1"/>
    </row>
    <row r="298" spans="12:12" x14ac:dyDescent="0.2">
      <c r="L298" s="1"/>
    </row>
    <row r="299" spans="12:12" x14ac:dyDescent="0.2">
      <c r="L299" s="1"/>
    </row>
    <row r="300" spans="12:12" x14ac:dyDescent="0.2">
      <c r="L300" s="1"/>
    </row>
    <row r="301" spans="12:12" x14ac:dyDescent="0.2">
      <c r="L301" s="1"/>
    </row>
    <row r="302" spans="12:12" x14ac:dyDescent="0.2">
      <c r="L302" s="1"/>
    </row>
    <row r="303" spans="12:12" x14ac:dyDescent="0.2">
      <c r="L303" s="1"/>
    </row>
    <row r="304" spans="12:12" x14ac:dyDescent="0.2">
      <c r="L304" s="1"/>
    </row>
    <row r="305" spans="12:12" x14ac:dyDescent="0.2">
      <c r="L305" s="1"/>
    </row>
    <row r="306" spans="12:12" x14ac:dyDescent="0.2">
      <c r="L306" s="1"/>
    </row>
    <row r="307" spans="12:12" x14ac:dyDescent="0.2">
      <c r="L307" s="1"/>
    </row>
    <row r="308" spans="12:12" x14ac:dyDescent="0.2">
      <c r="L308" s="1"/>
    </row>
    <row r="309" spans="12:12" x14ac:dyDescent="0.2">
      <c r="L309" s="1"/>
    </row>
    <row r="310" spans="12:12" x14ac:dyDescent="0.2">
      <c r="L310" s="1"/>
    </row>
    <row r="311" spans="12:12" x14ac:dyDescent="0.2">
      <c r="L311" s="1"/>
    </row>
    <row r="312" spans="12:12" x14ac:dyDescent="0.2">
      <c r="L312" s="1"/>
    </row>
    <row r="313" spans="12:12" x14ac:dyDescent="0.2">
      <c r="L313" s="1"/>
    </row>
    <row r="314" spans="12:12" x14ac:dyDescent="0.2">
      <c r="L314" s="1"/>
    </row>
    <row r="315" spans="12:12" x14ac:dyDescent="0.2">
      <c r="L315" s="1"/>
    </row>
    <row r="316" spans="12:12" x14ac:dyDescent="0.2">
      <c r="L316" s="1"/>
    </row>
    <row r="317" spans="12:12" x14ac:dyDescent="0.2">
      <c r="L317" s="1"/>
    </row>
    <row r="318" spans="12:12" x14ac:dyDescent="0.2">
      <c r="L318" s="1"/>
    </row>
    <row r="319" spans="12:12" x14ac:dyDescent="0.2">
      <c r="L319" s="1"/>
    </row>
    <row r="320" spans="12:12" x14ac:dyDescent="0.2">
      <c r="L320" s="1"/>
    </row>
    <row r="321" spans="12:12" x14ac:dyDescent="0.2">
      <c r="L321" s="1"/>
    </row>
    <row r="322" spans="12:12" x14ac:dyDescent="0.2">
      <c r="L322" s="1"/>
    </row>
    <row r="323" spans="12:12" x14ac:dyDescent="0.2">
      <c r="L323" s="1"/>
    </row>
    <row r="324" spans="12:12" x14ac:dyDescent="0.2">
      <c r="L324" s="1"/>
    </row>
    <row r="325" spans="12:12" x14ac:dyDescent="0.2">
      <c r="L325" s="1"/>
    </row>
    <row r="326" spans="12:12" x14ac:dyDescent="0.2">
      <c r="L326" s="1"/>
    </row>
    <row r="327" spans="12:12" x14ac:dyDescent="0.2">
      <c r="L327" s="1"/>
    </row>
    <row r="328" spans="12:12" x14ac:dyDescent="0.2">
      <c r="L328" s="1"/>
    </row>
    <row r="329" spans="12:12" x14ac:dyDescent="0.2">
      <c r="L329" s="1"/>
    </row>
    <row r="330" spans="12:12" x14ac:dyDescent="0.2">
      <c r="L330" s="1"/>
    </row>
    <row r="331" spans="12:12" x14ac:dyDescent="0.2">
      <c r="L331" s="1"/>
    </row>
    <row r="332" spans="12:12" x14ac:dyDescent="0.2">
      <c r="L332" s="1"/>
    </row>
    <row r="333" spans="12:12" x14ac:dyDescent="0.2">
      <c r="L333" s="1"/>
    </row>
    <row r="334" spans="12:12" x14ac:dyDescent="0.2">
      <c r="L334" s="1"/>
    </row>
    <row r="335" spans="12:12" x14ac:dyDescent="0.2">
      <c r="L335" s="1"/>
    </row>
    <row r="336" spans="12:12" x14ac:dyDescent="0.2">
      <c r="L336" s="1"/>
    </row>
    <row r="337" spans="12:12" x14ac:dyDescent="0.2">
      <c r="L337" s="1"/>
    </row>
    <row r="338" spans="12:12" x14ac:dyDescent="0.2">
      <c r="L338" s="1"/>
    </row>
    <row r="339" spans="12:12" x14ac:dyDescent="0.2">
      <c r="L339" s="1"/>
    </row>
    <row r="340" spans="12:12" x14ac:dyDescent="0.2">
      <c r="L340" s="1"/>
    </row>
    <row r="341" spans="12:12" x14ac:dyDescent="0.2">
      <c r="L341" s="1"/>
    </row>
    <row r="342" spans="12:12" x14ac:dyDescent="0.2">
      <c r="L342" s="1"/>
    </row>
    <row r="343" spans="12:12" x14ac:dyDescent="0.2">
      <c r="L343" s="1"/>
    </row>
    <row r="344" spans="12:12" x14ac:dyDescent="0.2">
      <c r="L344" s="1"/>
    </row>
    <row r="345" spans="12:12" x14ac:dyDescent="0.2">
      <c r="L345" s="1"/>
    </row>
    <row r="346" spans="12:12" x14ac:dyDescent="0.2">
      <c r="L346" s="1"/>
    </row>
    <row r="347" spans="12:12" x14ac:dyDescent="0.2">
      <c r="L347" s="1"/>
    </row>
    <row r="348" spans="12:12" x14ac:dyDescent="0.2">
      <c r="L348" s="1"/>
    </row>
    <row r="349" spans="12:12" x14ac:dyDescent="0.2">
      <c r="L349" s="1"/>
    </row>
    <row r="350" spans="12:12" x14ac:dyDescent="0.2">
      <c r="L350" s="1"/>
    </row>
    <row r="351" spans="12:12" x14ac:dyDescent="0.2">
      <c r="L351" s="1"/>
    </row>
    <row r="352" spans="12:12" x14ac:dyDescent="0.2">
      <c r="L352" s="1"/>
    </row>
    <row r="353" spans="12:12" x14ac:dyDescent="0.2">
      <c r="L353" s="1"/>
    </row>
    <row r="354" spans="12:12" x14ac:dyDescent="0.2">
      <c r="L354" s="1"/>
    </row>
    <row r="355" spans="12:12" x14ac:dyDescent="0.2">
      <c r="L355" s="1"/>
    </row>
    <row r="356" spans="12:12" x14ac:dyDescent="0.2">
      <c r="L356" s="1"/>
    </row>
    <row r="357" spans="12:12" x14ac:dyDescent="0.2">
      <c r="L357" s="1"/>
    </row>
    <row r="358" spans="12:12" x14ac:dyDescent="0.2">
      <c r="L358" s="1"/>
    </row>
    <row r="359" spans="12:12" x14ac:dyDescent="0.2">
      <c r="L359" s="1"/>
    </row>
    <row r="360" spans="12:12" x14ac:dyDescent="0.2">
      <c r="L360" s="1"/>
    </row>
    <row r="361" spans="12:12" x14ac:dyDescent="0.2">
      <c r="L361" s="1"/>
    </row>
    <row r="362" spans="12:12" x14ac:dyDescent="0.2">
      <c r="L362" s="1"/>
    </row>
    <row r="363" spans="12:12" x14ac:dyDescent="0.2">
      <c r="L363" s="1"/>
    </row>
    <row r="364" spans="12:12" x14ac:dyDescent="0.2">
      <c r="L364" s="1"/>
    </row>
    <row r="365" spans="12:12" x14ac:dyDescent="0.2">
      <c r="L365" s="1"/>
    </row>
    <row r="366" spans="12:12" x14ac:dyDescent="0.2">
      <c r="L366" s="1"/>
    </row>
    <row r="367" spans="12:12" x14ac:dyDescent="0.2">
      <c r="L367" s="1"/>
    </row>
    <row r="368" spans="12:12" x14ac:dyDescent="0.2">
      <c r="L368" s="1"/>
    </row>
    <row r="369" spans="12:12" x14ac:dyDescent="0.2">
      <c r="L369" s="1"/>
    </row>
    <row r="370" spans="12:12" x14ac:dyDescent="0.2">
      <c r="L370" s="1"/>
    </row>
    <row r="371" spans="12:12" x14ac:dyDescent="0.2">
      <c r="L371" s="1"/>
    </row>
    <row r="372" spans="12:12" x14ac:dyDescent="0.2">
      <c r="L372" s="1"/>
    </row>
    <row r="373" spans="12:12" x14ac:dyDescent="0.2">
      <c r="L373" s="1"/>
    </row>
    <row r="374" spans="12:12" x14ac:dyDescent="0.2">
      <c r="L374" s="1"/>
    </row>
    <row r="375" spans="12:12" x14ac:dyDescent="0.2">
      <c r="L375" s="1"/>
    </row>
    <row r="376" spans="12:12" x14ac:dyDescent="0.2">
      <c r="L376" s="1"/>
    </row>
    <row r="377" spans="12:12" x14ac:dyDescent="0.2">
      <c r="L377" s="1"/>
    </row>
    <row r="378" spans="12:12" x14ac:dyDescent="0.2">
      <c r="L378" s="1"/>
    </row>
    <row r="379" spans="12:12" x14ac:dyDescent="0.2">
      <c r="L379" s="1"/>
    </row>
    <row r="380" spans="12:12" x14ac:dyDescent="0.2">
      <c r="L380" s="1"/>
    </row>
    <row r="381" spans="12:12" x14ac:dyDescent="0.2">
      <c r="L381" s="1"/>
    </row>
    <row r="382" spans="12:12" x14ac:dyDescent="0.2">
      <c r="L382" s="1"/>
    </row>
    <row r="383" spans="12:12" x14ac:dyDescent="0.2">
      <c r="L383" s="1"/>
    </row>
    <row r="384" spans="12:12" x14ac:dyDescent="0.2">
      <c r="L384" s="1"/>
    </row>
    <row r="385" spans="12:12" x14ac:dyDescent="0.2">
      <c r="L385" s="1"/>
    </row>
    <row r="386" spans="12:12" x14ac:dyDescent="0.2">
      <c r="L386" s="1"/>
    </row>
    <row r="387" spans="12:12" x14ac:dyDescent="0.2">
      <c r="L387" s="1"/>
    </row>
    <row r="388" spans="12:12" x14ac:dyDescent="0.2">
      <c r="L388" s="1"/>
    </row>
    <row r="389" spans="12:12" x14ac:dyDescent="0.2">
      <c r="L389" s="1"/>
    </row>
    <row r="390" spans="12:12" x14ac:dyDescent="0.2">
      <c r="L390" s="1"/>
    </row>
    <row r="391" spans="12:12" x14ac:dyDescent="0.2">
      <c r="L391" s="1"/>
    </row>
    <row r="392" spans="12:12" x14ac:dyDescent="0.2">
      <c r="L392" s="1"/>
    </row>
    <row r="393" spans="12:12" x14ac:dyDescent="0.2">
      <c r="L393" s="1"/>
    </row>
    <row r="394" spans="12:12" x14ac:dyDescent="0.2">
      <c r="L394" s="1"/>
    </row>
    <row r="395" spans="12:12" x14ac:dyDescent="0.2">
      <c r="L395" s="1"/>
    </row>
    <row r="396" spans="12:12" x14ac:dyDescent="0.2">
      <c r="L396" s="1"/>
    </row>
    <row r="397" spans="12:12" x14ac:dyDescent="0.2">
      <c r="L397" s="1"/>
    </row>
    <row r="398" spans="12:12" x14ac:dyDescent="0.2">
      <c r="L398" s="1"/>
    </row>
    <row r="399" spans="12:12" x14ac:dyDescent="0.2">
      <c r="L399" s="1"/>
    </row>
    <row r="400" spans="12:12" x14ac:dyDescent="0.2">
      <c r="L400" s="1"/>
    </row>
    <row r="401" spans="12:12" x14ac:dyDescent="0.2">
      <c r="L401" s="1"/>
    </row>
    <row r="402" spans="12:12" x14ac:dyDescent="0.2">
      <c r="L402" s="1"/>
    </row>
    <row r="403" spans="12:12" x14ac:dyDescent="0.2">
      <c r="L403" s="1"/>
    </row>
    <row r="404" spans="12:12" x14ac:dyDescent="0.2">
      <c r="L404" s="1"/>
    </row>
    <row r="405" spans="12:12" x14ac:dyDescent="0.2">
      <c r="L405" s="1"/>
    </row>
    <row r="406" spans="12:12" x14ac:dyDescent="0.2">
      <c r="L406" s="1"/>
    </row>
    <row r="407" spans="12:12" x14ac:dyDescent="0.2">
      <c r="L407" s="1"/>
    </row>
    <row r="408" spans="12:12" x14ac:dyDescent="0.2">
      <c r="L408" s="1"/>
    </row>
    <row r="409" spans="12:12" x14ac:dyDescent="0.2">
      <c r="L409" s="1"/>
    </row>
    <row r="410" spans="12:12" x14ac:dyDescent="0.2">
      <c r="L410" s="1"/>
    </row>
    <row r="411" spans="12:12" x14ac:dyDescent="0.2">
      <c r="L411" s="1"/>
    </row>
    <row r="412" spans="12:12" x14ac:dyDescent="0.2">
      <c r="L412" s="1"/>
    </row>
    <row r="413" spans="12:12" x14ac:dyDescent="0.2">
      <c r="L413" s="1"/>
    </row>
    <row r="414" spans="12:12" x14ac:dyDescent="0.2">
      <c r="L414" s="1"/>
    </row>
    <row r="415" spans="12:12" x14ac:dyDescent="0.2">
      <c r="L415" s="1"/>
    </row>
    <row r="416" spans="12:12" x14ac:dyDescent="0.2">
      <c r="L416" s="1"/>
    </row>
    <row r="417" spans="12:12" x14ac:dyDescent="0.2">
      <c r="L417" s="1"/>
    </row>
    <row r="418" spans="12:12" x14ac:dyDescent="0.2">
      <c r="L418" s="1"/>
    </row>
    <row r="419" spans="12:12" x14ac:dyDescent="0.2">
      <c r="L419" s="1"/>
    </row>
    <row r="420" spans="12:12" x14ac:dyDescent="0.2">
      <c r="L420" s="1"/>
    </row>
    <row r="421" spans="12:12" x14ac:dyDescent="0.2">
      <c r="L421" s="1"/>
    </row>
    <row r="422" spans="12:12" x14ac:dyDescent="0.2">
      <c r="L422" s="1"/>
    </row>
    <row r="423" spans="12:12" x14ac:dyDescent="0.2">
      <c r="L423" s="1"/>
    </row>
    <row r="424" spans="12:12" x14ac:dyDescent="0.2">
      <c r="L424" s="1"/>
    </row>
    <row r="425" spans="12:12" x14ac:dyDescent="0.2">
      <c r="L425" s="1"/>
    </row>
    <row r="426" spans="12:12" x14ac:dyDescent="0.2">
      <c r="L426" s="1"/>
    </row>
    <row r="427" spans="12:12" x14ac:dyDescent="0.2">
      <c r="L427" s="1"/>
    </row>
    <row r="428" spans="12:12" x14ac:dyDescent="0.2">
      <c r="L428" s="1"/>
    </row>
    <row r="429" spans="12:12" x14ac:dyDescent="0.2">
      <c r="L429" s="1"/>
    </row>
    <row r="430" spans="12:12" x14ac:dyDescent="0.2">
      <c r="L430" s="1"/>
    </row>
    <row r="431" spans="12:12" x14ac:dyDescent="0.2">
      <c r="L431" s="1"/>
    </row>
    <row r="432" spans="12:12" x14ac:dyDescent="0.2">
      <c r="L432" s="1"/>
    </row>
    <row r="433" spans="12:12" x14ac:dyDescent="0.2">
      <c r="L433" s="1"/>
    </row>
    <row r="434" spans="12:12" x14ac:dyDescent="0.2">
      <c r="L434" s="1"/>
    </row>
    <row r="435" spans="12:12" x14ac:dyDescent="0.2">
      <c r="L435" s="1"/>
    </row>
    <row r="436" spans="12:12" x14ac:dyDescent="0.2">
      <c r="L436" s="1"/>
    </row>
    <row r="437" spans="12:12" x14ac:dyDescent="0.2">
      <c r="L437" s="1"/>
    </row>
    <row r="438" spans="12:12" x14ac:dyDescent="0.2">
      <c r="L438" s="1"/>
    </row>
    <row r="439" spans="12:12" x14ac:dyDescent="0.2">
      <c r="L439" s="1"/>
    </row>
    <row r="440" spans="12:12" x14ac:dyDescent="0.2">
      <c r="L440" s="1"/>
    </row>
    <row r="441" spans="12:12" x14ac:dyDescent="0.2">
      <c r="L441" s="1"/>
    </row>
    <row r="442" spans="12:12" x14ac:dyDescent="0.2">
      <c r="L442" s="1"/>
    </row>
    <row r="443" spans="12:12" x14ac:dyDescent="0.2">
      <c r="L443" s="1"/>
    </row>
    <row r="444" spans="12:12" x14ac:dyDescent="0.2">
      <c r="L444" s="1"/>
    </row>
    <row r="445" spans="12:12" x14ac:dyDescent="0.2">
      <c r="L445" s="1"/>
    </row>
    <row r="446" spans="12:12" x14ac:dyDescent="0.2">
      <c r="L446" s="1"/>
    </row>
    <row r="447" spans="12:12" x14ac:dyDescent="0.2">
      <c r="L447" s="1"/>
    </row>
    <row r="448" spans="12:12" x14ac:dyDescent="0.2">
      <c r="L448" s="1"/>
    </row>
    <row r="449" spans="12:12" x14ac:dyDescent="0.2">
      <c r="L449" s="1"/>
    </row>
    <row r="450" spans="12:12" x14ac:dyDescent="0.2">
      <c r="L450" s="1"/>
    </row>
    <row r="451" spans="12:12" x14ac:dyDescent="0.2">
      <c r="L451" s="1"/>
    </row>
    <row r="452" spans="12:12" x14ac:dyDescent="0.2">
      <c r="L452" s="1"/>
    </row>
    <row r="453" spans="12:12" x14ac:dyDescent="0.2">
      <c r="L453" s="1"/>
    </row>
    <row r="454" spans="12:12" x14ac:dyDescent="0.2">
      <c r="L454" s="1"/>
    </row>
    <row r="455" spans="12:12" x14ac:dyDescent="0.2">
      <c r="L455" s="1"/>
    </row>
    <row r="456" spans="12:12" x14ac:dyDescent="0.2">
      <c r="L456" s="1"/>
    </row>
    <row r="457" spans="12:12" x14ac:dyDescent="0.2">
      <c r="L457" s="1"/>
    </row>
    <row r="458" spans="12:12" x14ac:dyDescent="0.2">
      <c r="L458" s="1"/>
    </row>
    <row r="459" spans="12:12" x14ac:dyDescent="0.2">
      <c r="L459" s="1"/>
    </row>
    <row r="460" spans="12:12" x14ac:dyDescent="0.2">
      <c r="L460" s="1"/>
    </row>
    <row r="461" spans="12:12" x14ac:dyDescent="0.2">
      <c r="L461" s="1"/>
    </row>
    <row r="462" spans="12:12" x14ac:dyDescent="0.2">
      <c r="L462" s="1"/>
    </row>
    <row r="463" spans="12:12" x14ac:dyDescent="0.2">
      <c r="L463" s="1"/>
    </row>
    <row r="464" spans="12:12" x14ac:dyDescent="0.2">
      <c r="L464" s="1"/>
    </row>
    <row r="465" spans="12:12" x14ac:dyDescent="0.2">
      <c r="L465" s="1"/>
    </row>
    <row r="466" spans="12:12" x14ac:dyDescent="0.2">
      <c r="L466" s="1"/>
    </row>
    <row r="467" spans="12:12" x14ac:dyDescent="0.2">
      <c r="L467" s="1"/>
    </row>
    <row r="468" spans="12:12" x14ac:dyDescent="0.2">
      <c r="L468" s="1"/>
    </row>
    <row r="469" spans="12:12" x14ac:dyDescent="0.2">
      <c r="L469" s="1"/>
    </row>
    <row r="470" spans="12:12" x14ac:dyDescent="0.2">
      <c r="L470" s="1"/>
    </row>
    <row r="471" spans="12:12" x14ac:dyDescent="0.2">
      <c r="L471" s="1"/>
    </row>
    <row r="472" spans="12:12" x14ac:dyDescent="0.2">
      <c r="L472" s="1"/>
    </row>
    <row r="473" spans="12:12" x14ac:dyDescent="0.2">
      <c r="L473" s="1"/>
    </row>
    <row r="474" spans="12:12" x14ac:dyDescent="0.2">
      <c r="L474" s="1"/>
    </row>
    <row r="475" spans="12:12" x14ac:dyDescent="0.2">
      <c r="L475" s="1"/>
    </row>
    <row r="476" spans="12:12" x14ac:dyDescent="0.2">
      <c r="L476" s="1"/>
    </row>
    <row r="477" spans="12:12" x14ac:dyDescent="0.2">
      <c r="L477" s="1"/>
    </row>
    <row r="478" spans="12:12" x14ac:dyDescent="0.2">
      <c r="L478" s="1"/>
    </row>
    <row r="479" spans="12:12" x14ac:dyDescent="0.2">
      <c r="L479" s="1"/>
    </row>
    <row r="480" spans="12:12" x14ac:dyDescent="0.2">
      <c r="L480" s="1"/>
    </row>
    <row r="481" spans="12:12" x14ac:dyDescent="0.2">
      <c r="L481" s="1"/>
    </row>
    <row r="482" spans="12:12" x14ac:dyDescent="0.2">
      <c r="L482" s="1"/>
    </row>
    <row r="483" spans="12:12" x14ac:dyDescent="0.2">
      <c r="L483" s="1"/>
    </row>
    <row r="484" spans="12:12" x14ac:dyDescent="0.2">
      <c r="L484" s="1"/>
    </row>
    <row r="485" spans="12:12" x14ac:dyDescent="0.2">
      <c r="L485" s="1"/>
    </row>
    <row r="486" spans="12:12" x14ac:dyDescent="0.2">
      <c r="L486" s="1"/>
    </row>
    <row r="487" spans="12:12" x14ac:dyDescent="0.2">
      <c r="L487" s="1"/>
    </row>
    <row r="488" spans="12:12" x14ac:dyDescent="0.2">
      <c r="L488" s="1"/>
    </row>
    <row r="489" spans="12:12" x14ac:dyDescent="0.2">
      <c r="L489" s="1"/>
    </row>
    <row r="490" spans="12:12" x14ac:dyDescent="0.2">
      <c r="L490" s="1"/>
    </row>
    <row r="491" spans="12:12" x14ac:dyDescent="0.2">
      <c r="L491" s="1"/>
    </row>
    <row r="492" spans="12:12" x14ac:dyDescent="0.2">
      <c r="L492" s="1"/>
    </row>
    <row r="493" spans="12:12" x14ac:dyDescent="0.2">
      <c r="L493" s="1"/>
    </row>
    <row r="494" spans="12:12" x14ac:dyDescent="0.2">
      <c r="L494" s="1"/>
    </row>
    <row r="495" spans="12:12" x14ac:dyDescent="0.2">
      <c r="L495" s="1"/>
    </row>
    <row r="496" spans="12:12" x14ac:dyDescent="0.2">
      <c r="L496" s="1"/>
    </row>
    <row r="497" spans="12:12" x14ac:dyDescent="0.2">
      <c r="L497" s="1"/>
    </row>
    <row r="498" spans="12:12" x14ac:dyDescent="0.2">
      <c r="L498" s="1"/>
    </row>
    <row r="499" spans="12:12" x14ac:dyDescent="0.2">
      <c r="L499" s="1"/>
    </row>
    <row r="500" spans="12:12" x14ac:dyDescent="0.2">
      <c r="L500" s="1"/>
    </row>
    <row r="501" spans="12:12" x14ac:dyDescent="0.2">
      <c r="L501" s="1"/>
    </row>
    <row r="502" spans="12:12" x14ac:dyDescent="0.2">
      <c r="L502" s="1"/>
    </row>
    <row r="503" spans="12:12" x14ac:dyDescent="0.2">
      <c r="L503" s="1"/>
    </row>
    <row r="504" spans="12:12" x14ac:dyDescent="0.2">
      <c r="L504" s="1"/>
    </row>
    <row r="505" spans="12:12" x14ac:dyDescent="0.2">
      <c r="L505" s="1"/>
    </row>
    <row r="506" spans="12:12" x14ac:dyDescent="0.2">
      <c r="L506" s="1"/>
    </row>
    <row r="507" spans="12:12" x14ac:dyDescent="0.2">
      <c r="L507" s="1"/>
    </row>
    <row r="508" spans="12:12" x14ac:dyDescent="0.2">
      <c r="L508" s="1"/>
    </row>
    <row r="509" spans="12:12" x14ac:dyDescent="0.2">
      <c r="L509" s="1"/>
    </row>
    <row r="510" spans="12:12" x14ac:dyDescent="0.2">
      <c r="L510" s="1"/>
    </row>
    <row r="511" spans="12:12" x14ac:dyDescent="0.2">
      <c r="L511" s="1"/>
    </row>
    <row r="512" spans="12:12" x14ac:dyDescent="0.2">
      <c r="L512" s="1"/>
    </row>
    <row r="513" spans="12:12" x14ac:dyDescent="0.2">
      <c r="L513" s="1"/>
    </row>
    <row r="514" spans="12:12" x14ac:dyDescent="0.2">
      <c r="L514" s="1"/>
    </row>
    <row r="515" spans="12:12" x14ac:dyDescent="0.2">
      <c r="L515" s="1"/>
    </row>
    <row r="516" spans="12:12" x14ac:dyDescent="0.2">
      <c r="L516" s="1"/>
    </row>
    <row r="517" spans="12:12" x14ac:dyDescent="0.2">
      <c r="L517" s="1"/>
    </row>
    <row r="518" spans="12:12" x14ac:dyDescent="0.2">
      <c r="L518" s="1"/>
    </row>
    <row r="519" spans="12:12" x14ac:dyDescent="0.2">
      <c r="L519" s="1"/>
    </row>
    <row r="520" spans="12:12" x14ac:dyDescent="0.2">
      <c r="L520" s="1"/>
    </row>
    <row r="521" spans="12:12" x14ac:dyDescent="0.2">
      <c r="L521" s="1"/>
    </row>
    <row r="522" spans="12:12" x14ac:dyDescent="0.2">
      <c r="L522" s="1"/>
    </row>
    <row r="523" spans="12:12" x14ac:dyDescent="0.2">
      <c r="L523" s="1"/>
    </row>
    <row r="524" spans="12:12" x14ac:dyDescent="0.2">
      <c r="L524" s="1"/>
    </row>
    <row r="525" spans="12:12" x14ac:dyDescent="0.2">
      <c r="L525" s="1"/>
    </row>
    <row r="526" spans="12:12" x14ac:dyDescent="0.2">
      <c r="L526" s="1"/>
    </row>
    <row r="527" spans="12:12" x14ac:dyDescent="0.2">
      <c r="L527" s="1"/>
    </row>
    <row r="528" spans="12:12" x14ac:dyDescent="0.2">
      <c r="L528" s="1"/>
    </row>
    <row r="529" spans="12:12" x14ac:dyDescent="0.2">
      <c r="L529" s="1"/>
    </row>
    <row r="530" spans="12:12" x14ac:dyDescent="0.2">
      <c r="L530" s="1"/>
    </row>
    <row r="531" spans="12:12" x14ac:dyDescent="0.2">
      <c r="L531" s="1"/>
    </row>
    <row r="532" spans="12:12" x14ac:dyDescent="0.2">
      <c r="L532" s="1"/>
    </row>
    <row r="533" spans="12:12" x14ac:dyDescent="0.2">
      <c r="L533" s="1"/>
    </row>
    <row r="534" spans="12:12" x14ac:dyDescent="0.2">
      <c r="L534" s="1"/>
    </row>
    <row r="535" spans="12:12" x14ac:dyDescent="0.2">
      <c r="L535" s="1"/>
    </row>
    <row r="536" spans="12:12" x14ac:dyDescent="0.2">
      <c r="L536" s="1"/>
    </row>
    <row r="537" spans="12:12" x14ac:dyDescent="0.2">
      <c r="L537" s="1"/>
    </row>
    <row r="538" spans="12:12" x14ac:dyDescent="0.2">
      <c r="L538" s="1"/>
    </row>
    <row r="539" spans="12:12" x14ac:dyDescent="0.2">
      <c r="L539" s="1"/>
    </row>
    <row r="540" spans="12:12" x14ac:dyDescent="0.2">
      <c r="L540" s="1"/>
    </row>
    <row r="541" spans="12:12" x14ac:dyDescent="0.2">
      <c r="L541" s="1"/>
    </row>
    <row r="542" spans="12:12" x14ac:dyDescent="0.2">
      <c r="L542" s="1"/>
    </row>
    <row r="543" spans="12:12" x14ac:dyDescent="0.2">
      <c r="L543" s="1"/>
    </row>
    <row r="544" spans="12:12" x14ac:dyDescent="0.2">
      <c r="L544" s="1"/>
    </row>
    <row r="545" spans="12:12" x14ac:dyDescent="0.2">
      <c r="L545" s="1"/>
    </row>
    <row r="546" spans="12:12" x14ac:dyDescent="0.2">
      <c r="L546" s="1"/>
    </row>
    <row r="547" spans="12:12" x14ac:dyDescent="0.2">
      <c r="L547" s="1"/>
    </row>
    <row r="548" spans="12:12" x14ac:dyDescent="0.2">
      <c r="L548" s="1"/>
    </row>
    <row r="549" spans="12:12" x14ac:dyDescent="0.2">
      <c r="L549" s="1"/>
    </row>
    <row r="550" spans="12:12" x14ac:dyDescent="0.2">
      <c r="L550" s="1"/>
    </row>
    <row r="551" spans="12:12" x14ac:dyDescent="0.2">
      <c r="L551" s="1"/>
    </row>
    <row r="552" spans="12:12" x14ac:dyDescent="0.2">
      <c r="L552" s="1"/>
    </row>
    <row r="553" spans="12:12" x14ac:dyDescent="0.2">
      <c r="L553" s="1"/>
    </row>
    <row r="554" spans="12:12" x14ac:dyDescent="0.2">
      <c r="L554" s="1"/>
    </row>
    <row r="555" spans="12:12" x14ac:dyDescent="0.2">
      <c r="L555" s="1"/>
    </row>
    <row r="556" spans="12:12" x14ac:dyDescent="0.2">
      <c r="L556" s="1"/>
    </row>
    <row r="557" spans="12:12" x14ac:dyDescent="0.2">
      <c r="L557" s="1"/>
    </row>
    <row r="558" spans="12:12" x14ac:dyDescent="0.2">
      <c r="L558" s="1"/>
    </row>
    <row r="559" spans="12:12" x14ac:dyDescent="0.2">
      <c r="L559" s="1"/>
    </row>
    <row r="560" spans="12:12" x14ac:dyDescent="0.2">
      <c r="L560" s="1"/>
    </row>
    <row r="561" spans="12:12" x14ac:dyDescent="0.2">
      <c r="L561" s="1"/>
    </row>
    <row r="562" spans="12:12" x14ac:dyDescent="0.2">
      <c r="L562" s="1"/>
    </row>
    <row r="563" spans="12:12" x14ac:dyDescent="0.2">
      <c r="L563" s="1"/>
    </row>
    <row r="564" spans="12:12" x14ac:dyDescent="0.2">
      <c r="L564" s="1"/>
    </row>
    <row r="565" spans="12:12" x14ac:dyDescent="0.2">
      <c r="L565" s="1"/>
    </row>
    <row r="566" spans="12:12" x14ac:dyDescent="0.2">
      <c r="L566" s="1"/>
    </row>
    <row r="567" spans="12:12" x14ac:dyDescent="0.2">
      <c r="L567" s="1"/>
    </row>
    <row r="568" spans="12:12" x14ac:dyDescent="0.2">
      <c r="L568" s="1"/>
    </row>
    <row r="569" spans="12:12" x14ac:dyDescent="0.2">
      <c r="L569" s="1"/>
    </row>
    <row r="570" spans="12:12" x14ac:dyDescent="0.2">
      <c r="L570" s="1"/>
    </row>
    <row r="571" spans="12:12" x14ac:dyDescent="0.2">
      <c r="L571" s="1"/>
    </row>
    <row r="572" spans="12:12" x14ac:dyDescent="0.2">
      <c r="L572" s="1"/>
    </row>
    <row r="573" spans="12:12" x14ac:dyDescent="0.2">
      <c r="L573" s="1"/>
    </row>
    <row r="574" spans="12:12" x14ac:dyDescent="0.2">
      <c r="L574" s="1"/>
    </row>
    <row r="575" spans="12:12" x14ac:dyDescent="0.2">
      <c r="L575" s="1"/>
    </row>
    <row r="576" spans="12:12" x14ac:dyDescent="0.2">
      <c r="L576" s="1"/>
    </row>
    <row r="577" spans="12:12" x14ac:dyDescent="0.2">
      <c r="L577" s="1"/>
    </row>
    <row r="578" spans="12:12" x14ac:dyDescent="0.2">
      <c r="L578" s="1"/>
    </row>
    <row r="579" spans="12:12" x14ac:dyDescent="0.2">
      <c r="L579" s="1"/>
    </row>
    <row r="580" spans="12:12" x14ac:dyDescent="0.2">
      <c r="L580" s="1"/>
    </row>
    <row r="581" spans="12:12" x14ac:dyDescent="0.2">
      <c r="L581" s="1"/>
    </row>
    <row r="582" spans="12:12" x14ac:dyDescent="0.2">
      <c r="L582" s="1"/>
    </row>
    <row r="583" spans="12:12" x14ac:dyDescent="0.2">
      <c r="L583" s="1"/>
    </row>
    <row r="584" spans="12:12" x14ac:dyDescent="0.2">
      <c r="L584" s="1"/>
    </row>
    <row r="585" spans="12:12" x14ac:dyDescent="0.2">
      <c r="L585" s="1"/>
    </row>
    <row r="586" spans="12:12" x14ac:dyDescent="0.2">
      <c r="L586" s="1"/>
    </row>
    <row r="587" spans="12:12" x14ac:dyDescent="0.2">
      <c r="L587" s="1"/>
    </row>
    <row r="588" spans="12:12" x14ac:dyDescent="0.2">
      <c r="L588" s="1"/>
    </row>
    <row r="589" spans="12:12" x14ac:dyDescent="0.2">
      <c r="L589" s="1"/>
    </row>
    <row r="590" spans="12:12" x14ac:dyDescent="0.2">
      <c r="L590" s="1"/>
    </row>
    <row r="591" spans="12:12" x14ac:dyDescent="0.2">
      <c r="L591" s="1"/>
    </row>
    <row r="592" spans="12:12" x14ac:dyDescent="0.2">
      <c r="L592" s="1"/>
    </row>
    <row r="593" spans="12:12" x14ac:dyDescent="0.2">
      <c r="L593" s="1"/>
    </row>
    <row r="594" spans="12:12" x14ac:dyDescent="0.2">
      <c r="L594" s="1"/>
    </row>
    <row r="595" spans="12:12" x14ac:dyDescent="0.2">
      <c r="L595" s="1"/>
    </row>
    <row r="596" spans="12:12" x14ac:dyDescent="0.2">
      <c r="L596" s="1"/>
    </row>
    <row r="597" spans="12:12" x14ac:dyDescent="0.2">
      <c r="L597" s="1"/>
    </row>
    <row r="598" spans="12:12" x14ac:dyDescent="0.2">
      <c r="L598" s="1"/>
    </row>
    <row r="599" spans="12:12" x14ac:dyDescent="0.2">
      <c r="L599" s="1"/>
    </row>
    <row r="600" spans="12:12" x14ac:dyDescent="0.2">
      <c r="L600" s="1"/>
    </row>
    <row r="601" spans="12:12" x14ac:dyDescent="0.2">
      <c r="L601" s="1"/>
    </row>
    <row r="602" spans="12:12" x14ac:dyDescent="0.2">
      <c r="L602" s="1"/>
    </row>
    <row r="603" spans="12:12" x14ac:dyDescent="0.2">
      <c r="L603" s="1"/>
    </row>
    <row r="604" spans="12:12" x14ac:dyDescent="0.2">
      <c r="L604" s="1"/>
    </row>
    <row r="605" spans="12:12" x14ac:dyDescent="0.2">
      <c r="L605" s="1"/>
    </row>
    <row r="606" spans="12:12" x14ac:dyDescent="0.2">
      <c r="L606" s="1"/>
    </row>
    <row r="607" spans="12:12" x14ac:dyDescent="0.2">
      <c r="L607" s="1"/>
    </row>
    <row r="608" spans="12:12" x14ac:dyDescent="0.2">
      <c r="L608" s="1"/>
    </row>
    <row r="609" spans="12:12" x14ac:dyDescent="0.2">
      <c r="L609" s="1"/>
    </row>
    <row r="610" spans="12:12" x14ac:dyDescent="0.2">
      <c r="L610" s="1"/>
    </row>
    <row r="611" spans="12:12" x14ac:dyDescent="0.2">
      <c r="L611" s="1"/>
    </row>
    <row r="612" spans="12:12" x14ac:dyDescent="0.2">
      <c r="L612" s="1"/>
    </row>
    <row r="613" spans="12:12" x14ac:dyDescent="0.2">
      <c r="L613" s="1"/>
    </row>
    <row r="614" spans="12:12" x14ac:dyDescent="0.2">
      <c r="L614" s="1"/>
    </row>
    <row r="615" spans="12:12" x14ac:dyDescent="0.2">
      <c r="L615" s="1"/>
    </row>
    <row r="616" spans="12:12" x14ac:dyDescent="0.2">
      <c r="L616" s="1"/>
    </row>
    <row r="617" spans="12:12" x14ac:dyDescent="0.2">
      <c r="L617" s="1"/>
    </row>
    <row r="618" spans="12:12" x14ac:dyDescent="0.2">
      <c r="L618" s="1"/>
    </row>
    <row r="619" spans="12:12" x14ac:dyDescent="0.2">
      <c r="L619" s="1"/>
    </row>
    <row r="620" spans="12:12" x14ac:dyDescent="0.2">
      <c r="L620" s="1"/>
    </row>
    <row r="621" spans="12:12" x14ac:dyDescent="0.2">
      <c r="L621" s="1"/>
    </row>
    <row r="622" spans="12:12" x14ac:dyDescent="0.2">
      <c r="L622" s="1"/>
    </row>
    <row r="623" spans="12:12" x14ac:dyDescent="0.2">
      <c r="L623" s="1"/>
    </row>
    <row r="624" spans="12:12" x14ac:dyDescent="0.2">
      <c r="L624" s="1"/>
    </row>
    <row r="625" spans="12:12" x14ac:dyDescent="0.2">
      <c r="L625" s="1"/>
    </row>
    <row r="626" spans="12:12" x14ac:dyDescent="0.2">
      <c r="L626" s="1"/>
    </row>
    <row r="627" spans="12:12" x14ac:dyDescent="0.2">
      <c r="L627" s="1"/>
    </row>
    <row r="628" spans="12:12" x14ac:dyDescent="0.2">
      <c r="L628" s="1"/>
    </row>
    <row r="629" spans="12:12" x14ac:dyDescent="0.2">
      <c r="L629" s="1"/>
    </row>
    <row r="630" spans="12:12" x14ac:dyDescent="0.2">
      <c r="L630" s="1"/>
    </row>
    <row r="631" spans="12:12" x14ac:dyDescent="0.2">
      <c r="L631" s="1"/>
    </row>
    <row r="632" spans="12:12" x14ac:dyDescent="0.2">
      <c r="L632" s="1"/>
    </row>
    <row r="633" spans="12:12" x14ac:dyDescent="0.2">
      <c r="L633" s="1"/>
    </row>
    <row r="634" spans="12:12" x14ac:dyDescent="0.2">
      <c r="L634" s="1"/>
    </row>
    <row r="635" spans="12:12" x14ac:dyDescent="0.2">
      <c r="L635" s="1"/>
    </row>
    <row r="636" spans="12:12" x14ac:dyDescent="0.2">
      <c r="L636" s="1"/>
    </row>
    <row r="637" spans="12:12" x14ac:dyDescent="0.2">
      <c r="L637" s="1"/>
    </row>
    <row r="638" spans="12:12" x14ac:dyDescent="0.2">
      <c r="L638" s="1"/>
    </row>
    <row r="639" spans="12:12" x14ac:dyDescent="0.2">
      <c r="L639" s="1"/>
    </row>
    <row r="640" spans="12:12" x14ac:dyDescent="0.2">
      <c r="L640" s="1"/>
    </row>
    <row r="641" spans="12:12" x14ac:dyDescent="0.2">
      <c r="L641" s="1"/>
    </row>
    <row r="642" spans="12:12" x14ac:dyDescent="0.2">
      <c r="L642" s="1"/>
    </row>
    <row r="643" spans="12:12" x14ac:dyDescent="0.2">
      <c r="L643" s="1"/>
    </row>
    <row r="644" spans="12:12" x14ac:dyDescent="0.2">
      <c r="L644" s="1"/>
    </row>
    <row r="645" spans="12:12" x14ac:dyDescent="0.2">
      <c r="L645" s="1"/>
    </row>
    <row r="646" spans="12:12" x14ac:dyDescent="0.2">
      <c r="L646" s="1"/>
    </row>
    <row r="647" spans="12:12" x14ac:dyDescent="0.2">
      <c r="L647" s="1"/>
    </row>
    <row r="648" spans="12:12" x14ac:dyDescent="0.2">
      <c r="L648" s="1"/>
    </row>
    <row r="649" spans="12:12" x14ac:dyDescent="0.2">
      <c r="L649" s="1"/>
    </row>
    <row r="650" spans="12:12" x14ac:dyDescent="0.2">
      <c r="L650" s="1"/>
    </row>
    <row r="651" spans="12:12" x14ac:dyDescent="0.2">
      <c r="L651" s="1"/>
    </row>
    <row r="652" spans="12:12" x14ac:dyDescent="0.2">
      <c r="L652" s="1"/>
    </row>
    <row r="653" spans="12:12" x14ac:dyDescent="0.2">
      <c r="L653" s="1"/>
    </row>
    <row r="654" spans="12:12" x14ac:dyDescent="0.2">
      <c r="L654" s="1"/>
    </row>
    <row r="655" spans="12:12" x14ac:dyDescent="0.2">
      <c r="L655" s="1"/>
    </row>
    <row r="656" spans="12:12" x14ac:dyDescent="0.2">
      <c r="L656" s="1"/>
    </row>
    <row r="657" spans="12:12" x14ac:dyDescent="0.2">
      <c r="L657" s="1"/>
    </row>
    <row r="658" spans="12:12" x14ac:dyDescent="0.2">
      <c r="L658" s="1"/>
    </row>
    <row r="659" spans="12:12" x14ac:dyDescent="0.2">
      <c r="L659" s="1"/>
    </row>
    <row r="660" spans="12:12" x14ac:dyDescent="0.2">
      <c r="L660" s="1"/>
    </row>
    <row r="661" spans="12:12" x14ac:dyDescent="0.2">
      <c r="L661" s="1"/>
    </row>
    <row r="662" spans="12:12" x14ac:dyDescent="0.2">
      <c r="L662" s="1"/>
    </row>
    <row r="663" spans="12:12" x14ac:dyDescent="0.2">
      <c r="L663" s="1"/>
    </row>
    <row r="664" spans="12:12" x14ac:dyDescent="0.2">
      <c r="L664" s="1"/>
    </row>
    <row r="665" spans="12:12" x14ac:dyDescent="0.2">
      <c r="L665" s="1"/>
    </row>
    <row r="666" spans="12:12" x14ac:dyDescent="0.2">
      <c r="L666" s="1"/>
    </row>
    <row r="667" spans="12:12" x14ac:dyDescent="0.2">
      <c r="L667" s="1"/>
    </row>
    <row r="668" spans="12:12" x14ac:dyDescent="0.2">
      <c r="L668" s="1"/>
    </row>
    <row r="669" spans="12:12" x14ac:dyDescent="0.2">
      <c r="L669" s="1"/>
    </row>
    <row r="670" spans="12:12" x14ac:dyDescent="0.2">
      <c r="L670" s="1"/>
    </row>
    <row r="671" spans="12:12" x14ac:dyDescent="0.2">
      <c r="L671" s="1"/>
    </row>
    <row r="672" spans="12:12" x14ac:dyDescent="0.2">
      <c r="L672" s="1"/>
    </row>
    <row r="673" spans="12:12" x14ac:dyDescent="0.2">
      <c r="L673" s="1"/>
    </row>
    <row r="674" spans="12:12" x14ac:dyDescent="0.2">
      <c r="L674" s="1"/>
    </row>
    <row r="675" spans="12:12" x14ac:dyDescent="0.2">
      <c r="L675" s="1"/>
    </row>
    <row r="676" spans="12:12" x14ac:dyDescent="0.2">
      <c r="L676" s="1"/>
    </row>
    <row r="677" spans="12:12" x14ac:dyDescent="0.2">
      <c r="L677" s="1"/>
    </row>
    <row r="678" spans="12:12" x14ac:dyDescent="0.2">
      <c r="L678" s="1"/>
    </row>
    <row r="679" spans="12:12" x14ac:dyDescent="0.2">
      <c r="L679" s="1"/>
    </row>
    <row r="680" spans="12:12" x14ac:dyDescent="0.2">
      <c r="L680" s="1"/>
    </row>
    <row r="681" spans="12:12" x14ac:dyDescent="0.2">
      <c r="L681" s="1"/>
    </row>
    <row r="682" spans="12:12" x14ac:dyDescent="0.2">
      <c r="L682" s="1"/>
    </row>
    <row r="683" spans="12:12" x14ac:dyDescent="0.2">
      <c r="L683" s="1"/>
    </row>
    <row r="684" spans="12:12" x14ac:dyDescent="0.2">
      <c r="L684" s="1"/>
    </row>
    <row r="685" spans="12:12" x14ac:dyDescent="0.2">
      <c r="L685" s="1"/>
    </row>
    <row r="686" spans="12:12" x14ac:dyDescent="0.2">
      <c r="L686" s="1"/>
    </row>
    <row r="687" spans="12:12" x14ac:dyDescent="0.2">
      <c r="L687" s="1"/>
    </row>
    <row r="688" spans="12:12" x14ac:dyDescent="0.2">
      <c r="L688" s="1"/>
    </row>
    <row r="689" spans="12:12" x14ac:dyDescent="0.2">
      <c r="L689" s="1"/>
    </row>
    <row r="690" spans="12:12" x14ac:dyDescent="0.2">
      <c r="L690" s="1"/>
    </row>
    <row r="691" spans="12:12" x14ac:dyDescent="0.2">
      <c r="L691" s="1"/>
    </row>
    <row r="692" spans="12:12" x14ac:dyDescent="0.2">
      <c r="L692" s="1"/>
    </row>
    <row r="693" spans="12:12" x14ac:dyDescent="0.2">
      <c r="L693" s="1"/>
    </row>
    <row r="694" spans="12:12" x14ac:dyDescent="0.2">
      <c r="L694" s="1"/>
    </row>
    <row r="695" spans="12:12" x14ac:dyDescent="0.2">
      <c r="L695" s="1"/>
    </row>
    <row r="696" spans="12:12" x14ac:dyDescent="0.2">
      <c r="L696" s="1"/>
    </row>
    <row r="697" spans="12:12" x14ac:dyDescent="0.2">
      <c r="L697" s="1"/>
    </row>
    <row r="698" spans="12:12" x14ac:dyDescent="0.2">
      <c r="L698" s="1"/>
    </row>
    <row r="699" spans="12:12" x14ac:dyDescent="0.2">
      <c r="L699" s="1"/>
    </row>
    <row r="700" spans="12:12" x14ac:dyDescent="0.2">
      <c r="L700" s="1"/>
    </row>
    <row r="701" spans="12:12" x14ac:dyDescent="0.2">
      <c r="L701" s="1"/>
    </row>
    <row r="702" spans="12:12" x14ac:dyDescent="0.2">
      <c r="L702" s="1"/>
    </row>
    <row r="703" spans="12:12" x14ac:dyDescent="0.2">
      <c r="L703" s="1"/>
    </row>
    <row r="704" spans="12:12" x14ac:dyDescent="0.2">
      <c r="L704" s="1"/>
    </row>
    <row r="705" spans="12:12" x14ac:dyDescent="0.2">
      <c r="L705" s="1"/>
    </row>
    <row r="706" spans="12:12" x14ac:dyDescent="0.2">
      <c r="L706" s="1"/>
    </row>
    <row r="707" spans="12:12" x14ac:dyDescent="0.2">
      <c r="L707" s="1"/>
    </row>
    <row r="708" spans="12:12" x14ac:dyDescent="0.2">
      <c r="L708" s="1"/>
    </row>
    <row r="709" spans="12:12" x14ac:dyDescent="0.2">
      <c r="L709" s="1"/>
    </row>
    <row r="710" spans="12:12" x14ac:dyDescent="0.2">
      <c r="L710" s="1"/>
    </row>
    <row r="711" spans="12:12" x14ac:dyDescent="0.2">
      <c r="L711" s="1"/>
    </row>
    <row r="712" spans="12:12" x14ac:dyDescent="0.2">
      <c r="L712" s="1"/>
    </row>
    <row r="713" spans="12:12" x14ac:dyDescent="0.2">
      <c r="L713" s="1"/>
    </row>
    <row r="714" spans="12:12" x14ac:dyDescent="0.2">
      <c r="L714" s="1"/>
    </row>
    <row r="715" spans="12:12" x14ac:dyDescent="0.2">
      <c r="L715" s="1"/>
    </row>
    <row r="716" spans="12:12" x14ac:dyDescent="0.2">
      <c r="L716" s="1"/>
    </row>
    <row r="717" spans="12:12" x14ac:dyDescent="0.2">
      <c r="L717" s="1"/>
    </row>
    <row r="718" spans="12:12" x14ac:dyDescent="0.2">
      <c r="L718" s="1"/>
    </row>
    <row r="719" spans="12:12" x14ac:dyDescent="0.2">
      <c r="L719" s="1"/>
    </row>
    <row r="720" spans="12:12" x14ac:dyDescent="0.2">
      <c r="L720" s="1"/>
    </row>
    <row r="721" spans="12:12" x14ac:dyDescent="0.2">
      <c r="L721" s="1"/>
    </row>
    <row r="722" spans="12:12" x14ac:dyDescent="0.2">
      <c r="L722" s="1"/>
    </row>
    <row r="723" spans="12:12" x14ac:dyDescent="0.2">
      <c r="L723" s="1"/>
    </row>
    <row r="724" spans="12:12" x14ac:dyDescent="0.2">
      <c r="L724" s="1"/>
    </row>
    <row r="725" spans="12:12" x14ac:dyDescent="0.2">
      <c r="L725" s="1"/>
    </row>
    <row r="726" spans="12:12" x14ac:dyDescent="0.2">
      <c r="L726" s="1"/>
    </row>
    <row r="727" spans="12:12" x14ac:dyDescent="0.2">
      <c r="L727" s="1"/>
    </row>
    <row r="728" spans="12:12" x14ac:dyDescent="0.2">
      <c r="L728" s="1"/>
    </row>
    <row r="729" spans="12:12" x14ac:dyDescent="0.2">
      <c r="L729" s="1"/>
    </row>
    <row r="730" spans="12:12" x14ac:dyDescent="0.2">
      <c r="L730" s="1"/>
    </row>
    <row r="731" spans="12:12" x14ac:dyDescent="0.2">
      <c r="L731" s="1"/>
    </row>
    <row r="732" spans="12:12" x14ac:dyDescent="0.2">
      <c r="L732" s="1"/>
    </row>
    <row r="733" spans="12:12" x14ac:dyDescent="0.2">
      <c r="L733" s="1"/>
    </row>
    <row r="734" spans="12:12" x14ac:dyDescent="0.2">
      <c r="L734" s="1"/>
    </row>
    <row r="735" spans="12:12" x14ac:dyDescent="0.2">
      <c r="L735" s="1"/>
    </row>
    <row r="736" spans="12:12" x14ac:dyDescent="0.2">
      <c r="L736" s="1"/>
    </row>
    <row r="737" spans="12:12" x14ac:dyDescent="0.2">
      <c r="L737" s="1"/>
    </row>
    <row r="738" spans="12:12" x14ac:dyDescent="0.2">
      <c r="L738" s="1"/>
    </row>
    <row r="739" spans="12:12" x14ac:dyDescent="0.2">
      <c r="L739" s="1"/>
    </row>
    <row r="740" spans="12:12" x14ac:dyDescent="0.2">
      <c r="L740" s="1"/>
    </row>
    <row r="741" spans="12:12" x14ac:dyDescent="0.2">
      <c r="L741" s="1"/>
    </row>
    <row r="742" spans="12:12" x14ac:dyDescent="0.2">
      <c r="L742" s="1"/>
    </row>
    <row r="743" spans="12:12" x14ac:dyDescent="0.2">
      <c r="L743" s="1"/>
    </row>
    <row r="744" spans="12:12" x14ac:dyDescent="0.2">
      <c r="L744" s="1"/>
    </row>
    <row r="745" spans="12:12" x14ac:dyDescent="0.2">
      <c r="L745" s="1"/>
    </row>
    <row r="746" spans="12:12" x14ac:dyDescent="0.2">
      <c r="L746" s="1"/>
    </row>
    <row r="747" spans="12:12" x14ac:dyDescent="0.2">
      <c r="L747" s="1"/>
    </row>
    <row r="748" spans="12:12" x14ac:dyDescent="0.2">
      <c r="L748" s="1"/>
    </row>
    <row r="749" spans="12:12" x14ac:dyDescent="0.2">
      <c r="L749" s="1"/>
    </row>
    <row r="750" spans="12:12" x14ac:dyDescent="0.2">
      <c r="L750" s="1"/>
    </row>
    <row r="751" spans="12:12" x14ac:dyDescent="0.2">
      <c r="L751" s="1"/>
    </row>
    <row r="752" spans="12:12" x14ac:dyDescent="0.2">
      <c r="L752" s="1"/>
    </row>
    <row r="753" spans="12:12" x14ac:dyDescent="0.2">
      <c r="L753" s="1"/>
    </row>
    <row r="754" spans="12:12" x14ac:dyDescent="0.2">
      <c r="L754" s="1"/>
    </row>
    <row r="755" spans="12:12" x14ac:dyDescent="0.2">
      <c r="L755" s="1"/>
    </row>
    <row r="756" spans="12:12" x14ac:dyDescent="0.2">
      <c r="L756" s="1"/>
    </row>
    <row r="757" spans="12:12" x14ac:dyDescent="0.2">
      <c r="L757" s="1"/>
    </row>
    <row r="758" spans="12:12" x14ac:dyDescent="0.2">
      <c r="L758" s="1"/>
    </row>
    <row r="759" spans="12:12" x14ac:dyDescent="0.2">
      <c r="L759" s="1"/>
    </row>
    <row r="760" spans="12:12" x14ac:dyDescent="0.2">
      <c r="L760" s="1"/>
    </row>
    <row r="761" spans="12:12" x14ac:dyDescent="0.2">
      <c r="L761" s="1"/>
    </row>
    <row r="762" spans="12:12" x14ac:dyDescent="0.2">
      <c r="L762" s="1"/>
    </row>
    <row r="763" spans="12:12" x14ac:dyDescent="0.2">
      <c r="L763" s="1"/>
    </row>
    <row r="764" spans="12:12" x14ac:dyDescent="0.2">
      <c r="L764" s="1"/>
    </row>
    <row r="765" spans="12:12" x14ac:dyDescent="0.2">
      <c r="L765" s="1"/>
    </row>
    <row r="766" spans="12:12" x14ac:dyDescent="0.2">
      <c r="L766" s="1"/>
    </row>
    <row r="767" spans="12:12" x14ac:dyDescent="0.2">
      <c r="L767" s="1"/>
    </row>
    <row r="768" spans="12:12" x14ac:dyDescent="0.2">
      <c r="L768" s="1"/>
    </row>
    <row r="769" spans="12:12" x14ac:dyDescent="0.2">
      <c r="L769" s="1"/>
    </row>
    <row r="770" spans="12:12" x14ac:dyDescent="0.2">
      <c r="L770" s="1"/>
    </row>
    <row r="771" spans="12:12" x14ac:dyDescent="0.2">
      <c r="L771" s="1"/>
    </row>
    <row r="772" spans="12:12" x14ac:dyDescent="0.2">
      <c r="L772" s="1"/>
    </row>
    <row r="773" spans="12:12" x14ac:dyDescent="0.2">
      <c r="L773" s="1"/>
    </row>
    <row r="774" spans="12:12" x14ac:dyDescent="0.2">
      <c r="L774" s="1"/>
    </row>
    <row r="775" spans="12:12" x14ac:dyDescent="0.2">
      <c r="L775" s="1"/>
    </row>
    <row r="776" spans="12:12" x14ac:dyDescent="0.2">
      <c r="L776" s="1"/>
    </row>
    <row r="777" spans="12:12" x14ac:dyDescent="0.2">
      <c r="L777" s="1"/>
    </row>
    <row r="778" spans="12:12" x14ac:dyDescent="0.2">
      <c r="L778" s="1"/>
    </row>
    <row r="779" spans="12:12" x14ac:dyDescent="0.2">
      <c r="L779" s="1"/>
    </row>
    <row r="780" spans="12:12" x14ac:dyDescent="0.2">
      <c r="L780" s="1"/>
    </row>
    <row r="781" spans="12:12" x14ac:dyDescent="0.2">
      <c r="L781" s="1"/>
    </row>
    <row r="782" spans="12:12" x14ac:dyDescent="0.2">
      <c r="L782" s="1"/>
    </row>
    <row r="783" spans="12:12" x14ac:dyDescent="0.2">
      <c r="L783" s="1"/>
    </row>
    <row r="784" spans="12:12" x14ac:dyDescent="0.2">
      <c r="L784" s="1"/>
    </row>
    <row r="785" spans="12:12" x14ac:dyDescent="0.2">
      <c r="L785" s="1"/>
    </row>
    <row r="786" spans="12:12" x14ac:dyDescent="0.2">
      <c r="L786" s="1"/>
    </row>
    <row r="787" spans="12:12" x14ac:dyDescent="0.2">
      <c r="L787" s="1"/>
    </row>
    <row r="788" spans="12:12" x14ac:dyDescent="0.2">
      <c r="L788" s="1"/>
    </row>
    <row r="789" spans="12:12" x14ac:dyDescent="0.2">
      <c r="L789" s="1"/>
    </row>
    <row r="790" spans="12:12" x14ac:dyDescent="0.2">
      <c r="L790" s="1"/>
    </row>
    <row r="791" spans="12:12" x14ac:dyDescent="0.2">
      <c r="L791" s="1"/>
    </row>
    <row r="792" spans="12:12" x14ac:dyDescent="0.2">
      <c r="L792" s="1"/>
    </row>
    <row r="793" spans="12:12" x14ac:dyDescent="0.2">
      <c r="L793" s="1"/>
    </row>
    <row r="794" spans="12:12" x14ac:dyDescent="0.2">
      <c r="L794" s="1"/>
    </row>
    <row r="795" spans="12:12" x14ac:dyDescent="0.2">
      <c r="L795" s="1"/>
    </row>
    <row r="796" spans="12:12" x14ac:dyDescent="0.2">
      <c r="L796" s="1"/>
    </row>
    <row r="797" spans="12:12" x14ac:dyDescent="0.2">
      <c r="L797" s="1"/>
    </row>
    <row r="798" spans="12:12" x14ac:dyDescent="0.2">
      <c r="L798" s="1"/>
    </row>
    <row r="799" spans="12:12" x14ac:dyDescent="0.2">
      <c r="L799" s="1"/>
    </row>
    <row r="800" spans="12:12" x14ac:dyDescent="0.2">
      <c r="L800" s="1"/>
    </row>
    <row r="801" spans="12:12" x14ac:dyDescent="0.2">
      <c r="L801" s="1"/>
    </row>
    <row r="802" spans="12:12" x14ac:dyDescent="0.2">
      <c r="L802" s="1"/>
    </row>
    <row r="803" spans="12:12" x14ac:dyDescent="0.2">
      <c r="L803" s="1"/>
    </row>
    <row r="804" spans="12:12" x14ac:dyDescent="0.2">
      <c r="L804" s="1"/>
    </row>
    <row r="805" spans="12:12" x14ac:dyDescent="0.2">
      <c r="L805" s="1"/>
    </row>
    <row r="806" spans="12:12" x14ac:dyDescent="0.2">
      <c r="L806" s="1"/>
    </row>
    <row r="807" spans="12:12" x14ac:dyDescent="0.2">
      <c r="L807" s="1"/>
    </row>
    <row r="808" spans="12:12" x14ac:dyDescent="0.2">
      <c r="L808" s="1"/>
    </row>
    <row r="809" spans="12:12" x14ac:dyDescent="0.2">
      <c r="L809" s="1"/>
    </row>
    <row r="810" spans="12:12" x14ac:dyDescent="0.2">
      <c r="L810" s="1"/>
    </row>
    <row r="811" spans="12:12" x14ac:dyDescent="0.2">
      <c r="L811" s="1"/>
    </row>
    <row r="812" spans="12:12" x14ac:dyDescent="0.2">
      <c r="L812" s="1"/>
    </row>
    <row r="813" spans="12:12" x14ac:dyDescent="0.2">
      <c r="L813" s="1"/>
    </row>
    <row r="814" spans="12:12" x14ac:dyDescent="0.2">
      <c r="L814" s="1"/>
    </row>
    <row r="815" spans="12:12" x14ac:dyDescent="0.2">
      <c r="L815" s="1"/>
    </row>
    <row r="816" spans="12:12" x14ac:dyDescent="0.2">
      <c r="L816" s="1"/>
    </row>
    <row r="817" spans="12:12" x14ac:dyDescent="0.2">
      <c r="L817" s="1"/>
    </row>
    <row r="818" spans="12:12" x14ac:dyDescent="0.2">
      <c r="L818" s="1"/>
    </row>
    <row r="819" spans="12:12" x14ac:dyDescent="0.2">
      <c r="L819" s="1"/>
    </row>
    <row r="820" spans="12:12" x14ac:dyDescent="0.2">
      <c r="L820" s="1"/>
    </row>
    <row r="821" spans="12:12" x14ac:dyDescent="0.2">
      <c r="L821" s="1"/>
    </row>
    <row r="822" spans="12:12" x14ac:dyDescent="0.2">
      <c r="L822" s="1"/>
    </row>
    <row r="823" spans="12:12" x14ac:dyDescent="0.2">
      <c r="L823" s="1"/>
    </row>
    <row r="824" spans="12:12" x14ac:dyDescent="0.2">
      <c r="L824" s="1"/>
    </row>
    <row r="825" spans="12:12" x14ac:dyDescent="0.2">
      <c r="L825" s="1"/>
    </row>
    <row r="826" spans="12:12" x14ac:dyDescent="0.2">
      <c r="L826" s="1"/>
    </row>
    <row r="827" spans="12:12" x14ac:dyDescent="0.2">
      <c r="L827" s="1"/>
    </row>
    <row r="828" spans="12:12" x14ac:dyDescent="0.2">
      <c r="L828" s="1"/>
    </row>
    <row r="829" spans="12:12" x14ac:dyDescent="0.2">
      <c r="L829" s="1"/>
    </row>
    <row r="830" spans="12:12" x14ac:dyDescent="0.2">
      <c r="L830" s="1"/>
    </row>
    <row r="831" spans="12:12" x14ac:dyDescent="0.2">
      <c r="L831" s="1"/>
    </row>
    <row r="832" spans="12:12" x14ac:dyDescent="0.2">
      <c r="L832" s="1"/>
    </row>
    <row r="833" spans="12:12" x14ac:dyDescent="0.2">
      <c r="L833" s="1"/>
    </row>
    <row r="834" spans="12:12" x14ac:dyDescent="0.2">
      <c r="L834" s="1"/>
    </row>
    <row r="835" spans="12:12" x14ac:dyDescent="0.2">
      <c r="L835" s="1"/>
    </row>
    <row r="836" spans="12:12" x14ac:dyDescent="0.2">
      <c r="L836" s="1"/>
    </row>
    <row r="837" spans="12:12" x14ac:dyDescent="0.2">
      <c r="L837" s="1"/>
    </row>
    <row r="838" spans="12:12" x14ac:dyDescent="0.2">
      <c r="L838" s="1"/>
    </row>
    <row r="839" spans="12:12" x14ac:dyDescent="0.2">
      <c r="L839" s="1"/>
    </row>
    <row r="840" spans="12:12" x14ac:dyDescent="0.2">
      <c r="L840" s="1"/>
    </row>
    <row r="841" spans="12:12" x14ac:dyDescent="0.2">
      <c r="L841" s="1"/>
    </row>
    <row r="842" spans="12:12" x14ac:dyDescent="0.2">
      <c r="L842" s="1"/>
    </row>
    <row r="843" spans="12:12" x14ac:dyDescent="0.2">
      <c r="L843" s="1"/>
    </row>
    <row r="844" spans="12:12" x14ac:dyDescent="0.2">
      <c r="L844" s="1"/>
    </row>
    <row r="845" spans="12:12" x14ac:dyDescent="0.2">
      <c r="L845" s="1"/>
    </row>
    <row r="846" spans="12:12" x14ac:dyDescent="0.2">
      <c r="L846" s="1"/>
    </row>
    <row r="847" spans="12:12" x14ac:dyDescent="0.2">
      <c r="L847" s="1"/>
    </row>
    <row r="848" spans="12:12" x14ac:dyDescent="0.2">
      <c r="L848" s="1"/>
    </row>
    <row r="849" spans="12:12" x14ac:dyDescent="0.2">
      <c r="L849" s="1"/>
    </row>
    <row r="850" spans="12:12" x14ac:dyDescent="0.2">
      <c r="L850" s="1"/>
    </row>
    <row r="851" spans="12:12" x14ac:dyDescent="0.2">
      <c r="L851" s="1"/>
    </row>
    <row r="852" spans="12:12" x14ac:dyDescent="0.2">
      <c r="L852" s="1"/>
    </row>
    <row r="853" spans="12:12" x14ac:dyDescent="0.2">
      <c r="L853" s="1"/>
    </row>
    <row r="854" spans="12:12" x14ac:dyDescent="0.2">
      <c r="L854" s="1"/>
    </row>
    <row r="855" spans="12:12" x14ac:dyDescent="0.2">
      <c r="L855" s="1"/>
    </row>
    <row r="856" spans="12:12" x14ac:dyDescent="0.2">
      <c r="L856" s="1"/>
    </row>
    <row r="857" spans="12:12" x14ac:dyDescent="0.2">
      <c r="L857" s="1"/>
    </row>
    <row r="858" spans="12:12" x14ac:dyDescent="0.2">
      <c r="L858" s="1"/>
    </row>
    <row r="859" spans="12:12" x14ac:dyDescent="0.2">
      <c r="L859" s="1"/>
    </row>
    <row r="860" spans="12:12" x14ac:dyDescent="0.2">
      <c r="L860" s="1"/>
    </row>
    <row r="861" spans="12:12" x14ac:dyDescent="0.2">
      <c r="L861" s="1"/>
    </row>
    <row r="862" spans="12:12" x14ac:dyDescent="0.2">
      <c r="L862" s="1"/>
    </row>
    <row r="863" spans="12:12" x14ac:dyDescent="0.2">
      <c r="L863" s="1"/>
    </row>
    <row r="864" spans="12:12" x14ac:dyDescent="0.2">
      <c r="L864" s="1"/>
    </row>
    <row r="865" spans="12:12" x14ac:dyDescent="0.2">
      <c r="L865" s="1"/>
    </row>
    <row r="866" spans="12:12" x14ac:dyDescent="0.2">
      <c r="L866" s="1"/>
    </row>
    <row r="867" spans="12:12" x14ac:dyDescent="0.2">
      <c r="L867" s="1"/>
    </row>
    <row r="868" spans="12:12" x14ac:dyDescent="0.2">
      <c r="L868" s="1"/>
    </row>
    <row r="869" spans="12:12" x14ac:dyDescent="0.2">
      <c r="L869" s="1"/>
    </row>
    <row r="870" spans="12:12" x14ac:dyDescent="0.2">
      <c r="L870" s="1"/>
    </row>
    <row r="871" spans="12:12" x14ac:dyDescent="0.2">
      <c r="L871" s="1"/>
    </row>
    <row r="872" spans="12:12" x14ac:dyDescent="0.2">
      <c r="L872" s="1"/>
    </row>
    <row r="873" spans="12:12" x14ac:dyDescent="0.2">
      <c r="L873" s="1"/>
    </row>
    <row r="874" spans="12:12" x14ac:dyDescent="0.2">
      <c r="L874" s="1"/>
    </row>
    <row r="875" spans="12:12" x14ac:dyDescent="0.2">
      <c r="L875" s="1"/>
    </row>
    <row r="876" spans="12:12" x14ac:dyDescent="0.2">
      <c r="L876" s="1"/>
    </row>
    <row r="877" spans="12:12" x14ac:dyDescent="0.2">
      <c r="L877" s="1"/>
    </row>
    <row r="878" spans="12:12" x14ac:dyDescent="0.2">
      <c r="L878" s="1"/>
    </row>
    <row r="879" spans="12:12" x14ac:dyDescent="0.2">
      <c r="L879" s="1"/>
    </row>
    <row r="880" spans="12:12" x14ac:dyDescent="0.2">
      <c r="L880" s="1"/>
    </row>
    <row r="881" spans="12:12" x14ac:dyDescent="0.2">
      <c r="L881" s="1"/>
    </row>
    <row r="882" spans="12:12" x14ac:dyDescent="0.2">
      <c r="L882" s="1"/>
    </row>
    <row r="883" spans="12:12" x14ac:dyDescent="0.2">
      <c r="L883" s="1"/>
    </row>
    <row r="884" spans="12:12" x14ac:dyDescent="0.2">
      <c r="L884" s="1"/>
    </row>
    <row r="885" spans="12:12" x14ac:dyDescent="0.2">
      <c r="L885" s="1"/>
    </row>
    <row r="886" spans="12:12" x14ac:dyDescent="0.2">
      <c r="L886" s="1"/>
    </row>
    <row r="887" spans="12:12" x14ac:dyDescent="0.2">
      <c r="L887" s="1"/>
    </row>
    <row r="888" spans="12:12" x14ac:dyDescent="0.2">
      <c r="L888" s="1"/>
    </row>
    <row r="889" spans="12:12" x14ac:dyDescent="0.2">
      <c r="L889" s="1"/>
    </row>
    <row r="890" spans="12:12" x14ac:dyDescent="0.2">
      <c r="L890" s="1"/>
    </row>
    <row r="891" spans="12:12" x14ac:dyDescent="0.2">
      <c r="L891" s="1"/>
    </row>
    <row r="892" spans="12:12" x14ac:dyDescent="0.2">
      <c r="L892" s="1"/>
    </row>
    <row r="893" spans="12:12" x14ac:dyDescent="0.2">
      <c r="L893" s="1"/>
    </row>
    <row r="894" spans="12:12" x14ac:dyDescent="0.2">
      <c r="L894" s="1"/>
    </row>
    <row r="895" spans="12:12" x14ac:dyDescent="0.2">
      <c r="L895" s="1"/>
    </row>
    <row r="896" spans="12:12" x14ac:dyDescent="0.2">
      <c r="L896" s="1"/>
    </row>
    <row r="897" spans="12:12" x14ac:dyDescent="0.2">
      <c r="L897" s="1"/>
    </row>
    <row r="898" spans="12:12" x14ac:dyDescent="0.2">
      <c r="L898" s="1"/>
    </row>
    <row r="899" spans="12:12" x14ac:dyDescent="0.2">
      <c r="L899" s="1"/>
    </row>
    <row r="900" spans="12:12" x14ac:dyDescent="0.2">
      <c r="L900" s="1"/>
    </row>
    <row r="901" spans="12:12" x14ac:dyDescent="0.2">
      <c r="L901" s="1"/>
    </row>
    <row r="902" spans="12:12" x14ac:dyDescent="0.2">
      <c r="L902" s="1"/>
    </row>
    <row r="903" spans="12:12" x14ac:dyDescent="0.2">
      <c r="L903" s="1"/>
    </row>
    <row r="904" spans="12:12" x14ac:dyDescent="0.2">
      <c r="L904" s="1"/>
    </row>
    <row r="905" spans="12:12" x14ac:dyDescent="0.2">
      <c r="L905" s="1"/>
    </row>
    <row r="906" spans="12:12" x14ac:dyDescent="0.2">
      <c r="L906" s="1"/>
    </row>
    <row r="907" spans="12:12" x14ac:dyDescent="0.2">
      <c r="L907" s="1"/>
    </row>
    <row r="908" spans="12:12" x14ac:dyDescent="0.2">
      <c r="L908" s="1"/>
    </row>
    <row r="909" spans="12:12" x14ac:dyDescent="0.2">
      <c r="L909" s="1"/>
    </row>
    <row r="910" spans="12:12" x14ac:dyDescent="0.2">
      <c r="L910" s="1"/>
    </row>
    <row r="911" spans="12:12" x14ac:dyDescent="0.2">
      <c r="L911" s="1"/>
    </row>
    <row r="912" spans="12:12" x14ac:dyDescent="0.2">
      <c r="L912" s="1"/>
    </row>
    <row r="913" spans="12:12" x14ac:dyDescent="0.2">
      <c r="L913" s="1"/>
    </row>
    <row r="914" spans="12:12" x14ac:dyDescent="0.2">
      <c r="L914" s="1"/>
    </row>
    <row r="915" spans="12:12" x14ac:dyDescent="0.2">
      <c r="L915" s="1"/>
    </row>
    <row r="916" spans="12:12" x14ac:dyDescent="0.2">
      <c r="L916" s="1"/>
    </row>
    <row r="917" spans="12:12" x14ac:dyDescent="0.2">
      <c r="L917" s="1"/>
    </row>
    <row r="918" spans="12:12" x14ac:dyDescent="0.2">
      <c r="L918" s="1"/>
    </row>
    <row r="919" spans="12:12" x14ac:dyDescent="0.2">
      <c r="L919" s="1"/>
    </row>
    <row r="920" spans="12:12" x14ac:dyDescent="0.2">
      <c r="L920" s="1"/>
    </row>
    <row r="921" spans="12:12" x14ac:dyDescent="0.2">
      <c r="L921" s="1"/>
    </row>
    <row r="922" spans="12:12" x14ac:dyDescent="0.2">
      <c r="L922" s="1"/>
    </row>
    <row r="923" spans="12:12" x14ac:dyDescent="0.2">
      <c r="L923" s="1"/>
    </row>
    <row r="924" spans="12:12" x14ac:dyDescent="0.2">
      <c r="L924" s="1"/>
    </row>
    <row r="925" spans="12:12" x14ac:dyDescent="0.2">
      <c r="L925" s="1"/>
    </row>
    <row r="926" spans="12:12" x14ac:dyDescent="0.2">
      <c r="L926" s="1"/>
    </row>
    <row r="927" spans="12:12" x14ac:dyDescent="0.2">
      <c r="L927" s="1"/>
    </row>
    <row r="928" spans="12:12" x14ac:dyDescent="0.2">
      <c r="L928" s="1"/>
    </row>
    <row r="929" spans="12:12" x14ac:dyDescent="0.2">
      <c r="L929" s="1"/>
    </row>
    <row r="930" spans="12:12" x14ac:dyDescent="0.2">
      <c r="L930" s="1"/>
    </row>
    <row r="931" spans="12:12" x14ac:dyDescent="0.2">
      <c r="L931" s="1"/>
    </row>
    <row r="932" spans="12:12" x14ac:dyDescent="0.2">
      <c r="L932" s="1"/>
    </row>
    <row r="933" spans="12:12" x14ac:dyDescent="0.2">
      <c r="L933" s="1"/>
    </row>
    <row r="934" spans="12:12" x14ac:dyDescent="0.2">
      <c r="L934" s="1"/>
    </row>
    <row r="935" spans="12:12" x14ac:dyDescent="0.2">
      <c r="L935" s="1"/>
    </row>
    <row r="936" spans="12:12" x14ac:dyDescent="0.2">
      <c r="L936" s="1"/>
    </row>
    <row r="937" spans="12:12" x14ac:dyDescent="0.2">
      <c r="L937" s="1"/>
    </row>
    <row r="938" spans="12:12" x14ac:dyDescent="0.2">
      <c r="L938" s="1"/>
    </row>
    <row r="939" spans="12:12" x14ac:dyDescent="0.2">
      <c r="L939" s="1"/>
    </row>
    <row r="940" spans="12:12" x14ac:dyDescent="0.2">
      <c r="L940" s="1"/>
    </row>
    <row r="941" spans="12:12" x14ac:dyDescent="0.2">
      <c r="L941" s="1"/>
    </row>
    <row r="942" spans="12:12" x14ac:dyDescent="0.2">
      <c r="L942" s="1"/>
    </row>
    <row r="943" spans="12:12" x14ac:dyDescent="0.2">
      <c r="L943" s="1"/>
    </row>
    <row r="944" spans="12:12" x14ac:dyDescent="0.2">
      <c r="L944" s="1"/>
    </row>
    <row r="945" spans="12:12" x14ac:dyDescent="0.2">
      <c r="L945" s="1"/>
    </row>
    <row r="946" spans="12:12" x14ac:dyDescent="0.2">
      <c r="L946" s="1"/>
    </row>
    <row r="947" spans="12:12" x14ac:dyDescent="0.2">
      <c r="L947" s="1"/>
    </row>
    <row r="948" spans="12:12" x14ac:dyDescent="0.2">
      <c r="L948" s="1"/>
    </row>
    <row r="949" spans="12:12" x14ac:dyDescent="0.2">
      <c r="L949" s="1"/>
    </row>
    <row r="950" spans="12:12" x14ac:dyDescent="0.2">
      <c r="L950" s="1"/>
    </row>
    <row r="951" spans="12:12" x14ac:dyDescent="0.2">
      <c r="L951" s="1"/>
    </row>
    <row r="952" spans="12:12" x14ac:dyDescent="0.2">
      <c r="L952" s="1"/>
    </row>
    <row r="953" spans="12:12" x14ac:dyDescent="0.2">
      <c r="L953" s="1"/>
    </row>
    <row r="954" spans="12:12" x14ac:dyDescent="0.2">
      <c r="L954" s="1"/>
    </row>
    <row r="955" spans="12:12" x14ac:dyDescent="0.2">
      <c r="L955" s="1"/>
    </row>
    <row r="956" spans="12:12" x14ac:dyDescent="0.2">
      <c r="L956" s="1"/>
    </row>
    <row r="957" spans="12:12" x14ac:dyDescent="0.2">
      <c r="L957" s="1"/>
    </row>
    <row r="958" spans="12:12" x14ac:dyDescent="0.2">
      <c r="L958" s="1"/>
    </row>
    <row r="959" spans="12:12" x14ac:dyDescent="0.2">
      <c r="L959" s="1"/>
    </row>
    <row r="960" spans="12:12" x14ac:dyDescent="0.2">
      <c r="L960" s="1"/>
    </row>
    <row r="961" spans="12:12" x14ac:dyDescent="0.2">
      <c r="L961" s="1"/>
    </row>
    <row r="962" spans="12:12" x14ac:dyDescent="0.2">
      <c r="L962" s="1"/>
    </row>
    <row r="963" spans="12:12" x14ac:dyDescent="0.2">
      <c r="L963" s="1"/>
    </row>
    <row r="964" spans="12:12" x14ac:dyDescent="0.2">
      <c r="L964" s="1"/>
    </row>
    <row r="965" spans="12:12" x14ac:dyDescent="0.2">
      <c r="L965" s="1"/>
    </row>
    <row r="966" spans="12:12" x14ac:dyDescent="0.2">
      <c r="L966" s="1"/>
    </row>
    <row r="967" spans="12:12" x14ac:dyDescent="0.2">
      <c r="L967" s="1"/>
    </row>
    <row r="968" spans="12:12" x14ac:dyDescent="0.2">
      <c r="L968" s="1"/>
    </row>
    <row r="969" spans="12:12" x14ac:dyDescent="0.2">
      <c r="L969" s="1"/>
    </row>
    <row r="970" spans="12:12" x14ac:dyDescent="0.2">
      <c r="L970" s="1"/>
    </row>
    <row r="971" spans="12:12" x14ac:dyDescent="0.2">
      <c r="L971" s="1"/>
    </row>
    <row r="972" spans="12:12" x14ac:dyDescent="0.2">
      <c r="L972" s="1"/>
    </row>
    <row r="973" spans="12:12" x14ac:dyDescent="0.2">
      <c r="L973" s="1"/>
    </row>
    <row r="974" spans="12:12" x14ac:dyDescent="0.2">
      <c r="L974" s="1"/>
    </row>
    <row r="975" spans="12:12" x14ac:dyDescent="0.2">
      <c r="L975" s="1"/>
    </row>
    <row r="976" spans="12:12" x14ac:dyDescent="0.2">
      <c r="L976" s="1"/>
    </row>
    <row r="977" spans="12:12" x14ac:dyDescent="0.2">
      <c r="L977" s="1"/>
    </row>
    <row r="978" spans="12:12" x14ac:dyDescent="0.2">
      <c r="L978" s="1"/>
    </row>
    <row r="979" spans="12:12" x14ac:dyDescent="0.2">
      <c r="L979" s="1"/>
    </row>
    <row r="980" spans="12:12" x14ac:dyDescent="0.2">
      <c r="L980" s="1"/>
    </row>
    <row r="981" spans="12:12" x14ac:dyDescent="0.2">
      <c r="L981" s="1"/>
    </row>
    <row r="982" spans="12:12" x14ac:dyDescent="0.2">
      <c r="L982" s="1"/>
    </row>
    <row r="983" spans="12:12" x14ac:dyDescent="0.2">
      <c r="L983" s="1"/>
    </row>
    <row r="984" spans="12:12" x14ac:dyDescent="0.2">
      <c r="L984" s="1"/>
    </row>
    <row r="985" spans="12:12" x14ac:dyDescent="0.2">
      <c r="L985" s="1"/>
    </row>
    <row r="986" spans="12:12" x14ac:dyDescent="0.2">
      <c r="L986" s="1"/>
    </row>
    <row r="987" spans="12:12" x14ac:dyDescent="0.2">
      <c r="L987" s="1"/>
    </row>
    <row r="988" spans="12:12" x14ac:dyDescent="0.2">
      <c r="L988" s="1"/>
    </row>
    <row r="989" spans="12:12" x14ac:dyDescent="0.2">
      <c r="L989" s="1"/>
    </row>
    <row r="990" spans="12:12" x14ac:dyDescent="0.2">
      <c r="L990" s="1"/>
    </row>
    <row r="991" spans="12:12" x14ac:dyDescent="0.2">
      <c r="L991" s="1"/>
    </row>
    <row r="992" spans="12:12" x14ac:dyDescent="0.2">
      <c r="L992" s="1"/>
    </row>
    <row r="993" spans="12:12" x14ac:dyDescent="0.2">
      <c r="L993" s="1"/>
    </row>
    <row r="994" spans="12:12" x14ac:dyDescent="0.2">
      <c r="L994" s="1"/>
    </row>
    <row r="995" spans="12:12" x14ac:dyDescent="0.2">
      <c r="L995" s="1"/>
    </row>
    <row r="996" spans="12:12" x14ac:dyDescent="0.2">
      <c r="L996" s="1"/>
    </row>
    <row r="997" spans="12:12" x14ac:dyDescent="0.2">
      <c r="L997" s="1"/>
    </row>
    <row r="998" spans="12:12" x14ac:dyDescent="0.2">
      <c r="L998" s="1"/>
    </row>
    <row r="999" spans="12:12" x14ac:dyDescent="0.2">
      <c r="L99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4C34-18F1-664B-B78B-8ADC9FC78458}">
  <dimension ref="A1:N35"/>
  <sheetViews>
    <sheetView zoomScale="75" zoomScaleNormal="92" workbookViewId="0">
      <selection activeCell="K25" sqref="K25"/>
    </sheetView>
  </sheetViews>
  <sheetFormatPr baseColWidth="10" defaultRowHeight="16" x14ac:dyDescent="0.2"/>
  <cols>
    <col min="11" max="11" width="19.33203125" customWidth="1"/>
    <col min="12" max="12" width="18" customWidth="1"/>
    <col min="13" max="13" width="21.5" customWidth="1"/>
    <col min="14" max="14" width="93.1640625" bestFit="1" customWidth="1"/>
  </cols>
  <sheetData>
    <row r="1" spans="1:14" x14ac:dyDescent="0.2">
      <c r="A1" t="s">
        <v>27</v>
      </c>
      <c r="B1" t="s">
        <v>0</v>
      </c>
      <c r="C1" t="s">
        <v>15</v>
      </c>
      <c r="D1" t="s">
        <v>16</v>
      </c>
      <c r="E1" t="s">
        <v>25</v>
      </c>
      <c r="F1" t="s">
        <v>17</v>
      </c>
      <c r="G1" t="s">
        <v>18</v>
      </c>
      <c r="H1" t="s">
        <v>26</v>
      </c>
      <c r="I1" t="s">
        <v>23</v>
      </c>
      <c r="J1" t="s">
        <v>19</v>
      </c>
      <c r="N1" t="s">
        <v>28</v>
      </c>
    </row>
    <row r="2" spans="1:14" x14ac:dyDescent="0.2">
      <c r="A2">
        <v>0</v>
      </c>
      <c r="B2">
        <v>2024</v>
      </c>
      <c r="C2" s="2">
        <f>Financial_Data!B6</f>
        <v>35926</v>
      </c>
      <c r="D2" s="2">
        <f>Financial_Data!C6</f>
        <v>23595</v>
      </c>
      <c r="E2" s="5">
        <v>0.16500000000000001</v>
      </c>
      <c r="F2">
        <f t="shared" ref="F2:F7" si="0">D2*(1-E2)</f>
        <v>19701.825000000001</v>
      </c>
      <c r="G2" s="2">
        <f>Financial_Data!L6</f>
        <v>1034</v>
      </c>
      <c r="H2" s="2">
        <f>Financial_Data!K6</f>
        <v>1257</v>
      </c>
      <c r="I2" s="2">
        <f>Financial_Data!X6</f>
        <v>686</v>
      </c>
      <c r="J2" s="2">
        <f>F2+G2-H2-I2</f>
        <v>18792.825000000001</v>
      </c>
      <c r="K2" t="s">
        <v>46</v>
      </c>
      <c r="L2" t="s">
        <v>47</v>
      </c>
      <c r="M2" t="s">
        <v>29</v>
      </c>
      <c r="N2" s="6">
        <v>45565</v>
      </c>
    </row>
    <row r="3" spans="1:14" x14ac:dyDescent="0.2">
      <c r="A3">
        <v>1</v>
      </c>
      <c r="B3">
        <v>2025</v>
      </c>
      <c r="C3">
        <f>C2*(1+8%)</f>
        <v>38800.080000000002</v>
      </c>
      <c r="D3">
        <f>C3*65.7%</f>
        <v>25491.652560000002</v>
      </c>
      <c r="E3" s="5">
        <v>0.16500000000000001</v>
      </c>
      <c r="F3">
        <f t="shared" si="0"/>
        <v>21285.529887600002</v>
      </c>
      <c r="G3">
        <f>C3*2.9%</f>
        <v>1125.2023199999999</v>
      </c>
      <c r="H3">
        <f>C3*3.5%</f>
        <v>1358.0028000000002</v>
      </c>
      <c r="I3">
        <f>(C3-C2)*1.9%</f>
        <v>54.607520000000029</v>
      </c>
      <c r="J3">
        <f>F3+G3-H3-I3</f>
        <v>20998.121887600002</v>
      </c>
      <c r="K3">
        <f>1/(1+$N$15)^$A3</f>
        <v>0.9224386469183633</v>
      </c>
      <c r="L3">
        <f>$J3*$K3</f>
        <v>19369.479141824613</v>
      </c>
      <c r="M3" t="s">
        <v>30</v>
      </c>
      <c r="N3" s="4">
        <v>4.1200000000000001E-2</v>
      </c>
    </row>
    <row r="4" spans="1:14" x14ac:dyDescent="0.2">
      <c r="A4">
        <v>2</v>
      </c>
      <c r="B4">
        <v>2026</v>
      </c>
      <c r="C4">
        <f>C3*(1+7%)</f>
        <v>41516.085600000006</v>
      </c>
      <c r="D4">
        <f t="shared" ref="D4:D7" si="1">C4*65.7%</f>
        <v>27276.068239200005</v>
      </c>
      <c r="E4" s="5">
        <v>0.16500000000000001</v>
      </c>
      <c r="F4">
        <f t="shared" si="0"/>
        <v>22775.516979732005</v>
      </c>
      <c r="G4">
        <f t="shared" ref="G4:G7" si="2">C4*2.9%</f>
        <v>1203.9664824000001</v>
      </c>
      <c r="H4">
        <f t="shared" ref="H4:H7" si="3">C4*3.5%</f>
        <v>1453.0629960000003</v>
      </c>
      <c r="I4">
        <f t="shared" ref="I4:I7" si="4">(C4-C3)*1.9%</f>
        <v>51.604106400000077</v>
      </c>
      <c r="J4">
        <f t="shared" ref="J4:J7" si="5">F4+G4-H4-I4</f>
        <v>22474.816359732005</v>
      </c>
      <c r="K4">
        <f t="shared" ref="K4:K7" si="6">1/(1+$N$15)^$A4</f>
        <v>0.850893057328581</v>
      </c>
      <c r="L4">
        <f t="shared" ref="L4:L7" si="7">$J4*$K4</f>
        <v>19123.665205230776</v>
      </c>
      <c r="M4" t="s">
        <v>35</v>
      </c>
      <c r="N4" s="7">
        <v>5.5E-2</v>
      </c>
    </row>
    <row r="5" spans="1:14" x14ac:dyDescent="0.2">
      <c r="A5">
        <v>3</v>
      </c>
      <c r="B5">
        <v>2027</v>
      </c>
      <c r="C5">
        <f>C4*(1+6%)</f>
        <v>44007.050736000012</v>
      </c>
      <c r="D5">
        <f t="shared" si="1"/>
        <v>28912.63233355201</v>
      </c>
      <c r="E5" s="5">
        <v>0.16500000000000001</v>
      </c>
      <c r="F5">
        <f t="shared" si="0"/>
        <v>24142.047998515929</v>
      </c>
      <c r="G5">
        <f t="shared" si="2"/>
        <v>1276.2044713440002</v>
      </c>
      <c r="H5">
        <f t="shared" si="3"/>
        <v>1540.2467757600007</v>
      </c>
      <c r="I5">
        <f t="shared" si="4"/>
        <v>47.328337584000117</v>
      </c>
      <c r="J5">
        <f t="shared" si="5"/>
        <v>23830.677356515927</v>
      </c>
      <c r="K5">
        <f t="shared" si="6"/>
        <v>0.78489664047440566</v>
      </c>
      <c r="L5">
        <f t="shared" si="7"/>
        <v>18704.618597358844</v>
      </c>
      <c r="M5" t="s">
        <v>31</v>
      </c>
      <c r="N5" s="8">
        <v>0.82</v>
      </c>
    </row>
    <row r="6" spans="1:14" x14ac:dyDescent="0.2">
      <c r="A6">
        <v>4</v>
      </c>
      <c r="B6">
        <v>2028</v>
      </c>
      <c r="C6">
        <f>C5*(1+5.5%)</f>
        <v>46427.438526480008</v>
      </c>
      <c r="D6">
        <f t="shared" si="1"/>
        <v>30502.827111897368</v>
      </c>
      <c r="E6" s="5">
        <v>0.16500000000000001</v>
      </c>
      <c r="F6">
        <f t="shared" si="0"/>
        <v>25469.8606384343</v>
      </c>
      <c r="G6">
        <f t="shared" si="2"/>
        <v>1346.3957172679202</v>
      </c>
      <c r="H6">
        <f t="shared" si="3"/>
        <v>1624.9603484268005</v>
      </c>
      <c r="I6">
        <f t="shared" si="4"/>
        <v>45.987368019119913</v>
      </c>
      <c r="J6">
        <f t="shared" si="5"/>
        <v>25145.308639256302</v>
      </c>
      <c r="K6">
        <f t="shared" si="6"/>
        <v>0.7240189950099799</v>
      </c>
      <c r="L6">
        <f t="shared" si="7"/>
        <v>18205.681090210113</v>
      </c>
      <c r="M6" t="s">
        <v>36</v>
      </c>
      <c r="N6" s="9">
        <f>N3+N5*N4</f>
        <v>8.6299999999999988E-2</v>
      </c>
    </row>
    <row r="7" spans="1:14" x14ac:dyDescent="0.2">
      <c r="A7">
        <v>5</v>
      </c>
      <c r="B7">
        <v>2029</v>
      </c>
      <c r="C7">
        <f>C6*(1+5%)</f>
        <v>48748.810452804013</v>
      </c>
      <c r="D7">
        <f t="shared" si="1"/>
        <v>32027.968467492239</v>
      </c>
      <c r="E7" s="5">
        <v>0.16500000000000001</v>
      </c>
      <c r="F7">
        <f t="shared" si="0"/>
        <v>26743.35367035602</v>
      </c>
      <c r="G7">
        <f t="shared" si="2"/>
        <v>1413.7155031313164</v>
      </c>
      <c r="H7">
        <f t="shared" si="3"/>
        <v>1706.2083658481406</v>
      </c>
      <c r="I7">
        <f t="shared" si="4"/>
        <v>44.106066600156105</v>
      </c>
      <c r="J7">
        <f t="shared" si="5"/>
        <v>26406.75474103904</v>
      </c>
      <c r="K7">
        <f t="shared" si="6"/>
        <v>0.66786310210019906</v>
      </c>
      <c r="L7">
        <f t="shared" si="7"/>
        <v>17636.097137749472</v>
      </c>
      <c r="M7" t="s">
        <v>37</v>
      </c>
      <c r="N7" s="2">
        <v>20836</v>
      </c>
    </row>
    <row r="8" spans="1:14" x14ac:dyDescent="0.2">
      <c r="M8" t="s">
        <v>38</v>
      </c>
      <c r="N8">
        <v>551540</v>
      </c>
    </row>
    <row r="9" spans="1:14" x14ac:dyDescent="0.2">
      <c r="M9" t="s">
        <v>39</v>
      </c>
      <c r="N9">
        <f>N7/(N7+N8)</f>
        <v>3.6402644415559002E-2</v>
      </c>
    </row>
    <row r="10" spans="1:14" x14ac:dyDescent="0.2">
      <c r="M10" t="s">
        <v>40</v>
      </c>
      <c r="N10">
        <f>N8/(N7+N8)</f>
        <v>0.96359735558444104</v>
      </c>
    </row>
    <row r="11" spans="1:14" x14ac:dyDescent="0.2">
      <c r="M11" t="s">
        <v>41</v>
      </c>
      <c r="N11">
        <f>(Financial_Data!D6 - Financial_Data!E6)/Financial_Data!D6</f>
        <v>0.17448569994982438</v>
      </c>
    </row>
    <row r="12" spans="1:14" x14ac:dyDescent="0.2">
      <c r="M12" t="s">
        <v>32</v>
      </c>
      <c r="N12">
        <f>ABS(641)</f>
        <v>641</v>
      </c>
    </row>
    <row r="13" spans="1:14" x14ac:dyDescent="0.2">
      <c r="M13" t="s">
        <v>33</v>
      </c>
      <c r="N13">
        <v>20836</v>
      </c>
    </row>
    <row r="14" spans="1:14" x14ac:dyDescent="0.2">
      <c r="M14" t="s">
        <v>42</v>
      </c>
      <c r="N14" s="4">
        <f>ABS(N12)/N13</f>
        <v>3.0764062200038394E-2</v>
      </c>
    </row>
    <row r="15" spans="1:14" x14ac:dyDescent="0.2">
      <c r="M15" t="s">
        <v>34</v>
      </c>
      <c r="N15">
        <f>N10*N6 + N9*N14*(1-N11)</f>
        <v>8.4082939652138033E-2</v>
      </c>
    </row>
    <row r="16" spans="1:14" x14ac:dyDescent="0.2">
      <c r="M16" t="s">
        <v>43</v>
      </c>
      <c r="N16">
        <v>2.5000000000000001E-2</v>
      </c>
    </row>
    <row r="17" spans="2:14" x14ac:dyDescent="0.2">
      <c r="M17" t="s">
        <v>44</v>
      </c>
      <c r="N17">
        <f>J7*(1+$N$16)</f>
        <v>27066.923609565012</v>
      </c>
    </row>
    <row r="18" spans="2:14" x14ac:dyDescent="0.2">
      <c r="M18" t="s">
        <v>45</v>
      </c>
      <c r="N18">
        <f>$J$7*(1+$N$16)/($N$15-$N$16)</f>
        <v>458117.41543204582</v>
      </c>
    </row>
    <row r="19" spans="2:14" x14ac:dyDescent="0.2">
      <c r="M19" t="s">
        <v>48</v>
      </c>
      <c r="N19">
        <f>$N$18*K7</f>
        <v>305959.71819657175</v>
      </c>
    </row>
    <row r="20" spans="2:14" x14ac:dyDescent="0.2">
      <c r="M20" t="s">
        <v>49</v>
      </c>
      <c r="N20">
        <f>SUM($L$3:$L$7)+N19</f>
        <v>398999.25936894555</v>
      </c>
    </row>
    <row r="21" spans="2:14" x14ac:dyDescent="0.2">
      <c r="M21" t="s">
        <v>50</v>
      </c>
      <c r="N21">
        <v>11975</v>
      </c>
    </row>
    <row r="22" spans="2:14" x14ac:dyDescent="0.2">
      <c r="M22" t="s">
        <v>51</v>
      </c>
      <c r="N22" s="2">
        <f>$N$7-$N$21</f>
        <v>8861</v>
      </c>
    </row>
    <row r="23" spans="2:14" x14ac:dyDescent="0.2">
      <c r="M23" t="s">
        <v>52</v>
      </c>
      <c r="N23" s="2">
        <f>$N$20-$N$22</f>
        <v>390138.25936894555</v>
      </c>
    </row>
    <row r="24" spans="2:14" x14ac:dyDescent="0.2">
      <c r="M24" t="s">
        <v>53</v>
      </c>
      <c r="N24">
        <v>1733</v>
      </c>
    </row>
    <row r="25" spans="2:14" x14ac:dyDescent="0.2">
      <c r="M25" t="s">
        <v>54</v>
      </c>
      <c r="N25">
        <f>$N$23/$N$24</f>
        <v>225.12305791629865</v>
      </c>
    </row>
    <row r="28" spans="2:14" ht="17" x14ac:dyDescent="0.25">
      <c r="B28">
        <f xml:space="preserve"> N25</f>
        <v>225.12305791629865</v>
      </c>
      <c r="C28" s="10">
        <v>1.4999999999999999E-2</v>
      </c>
      <c r="D28" s="5">
        <v>0.02</v>
      </c>
      <c r="E28" s="5">
        <v>2.5000000000000001E-2</v>
      </c>
      <c r="F28" s="5">
        <v>0.03</v>
      </c>
      <c r="G28" s="5">
        <v>3.5000000000000003E-2</v>
      </c>
    </row>
    <row r="29" spans="2:14" ht="17" x14ac:dyDescent="0.25">
      <c r="B29" s="11">
        <v>7.0000000000000007E-2</v>
      </c>
      <c r="C29" s="10">
        <f t="dataTable" ref="C29:G35" dt2D="1" dtr="1" r1="N16" r2="N15"/>
        <v>251.19062347922474</v>
      </c>
      <c r="D29">
        <v>272.32642241711699</v>
      </c>
      <c r="E29">
        <v>298.15906556342969</v>
      </c>
      <c r="F29">
        <v>330.44986949632062</v>
      </c>
      <c r="G29">
        <v>371.96661741003743</v>
      </c>
    </row>
    <row r="30" spans="2:14" ht="17" x14ac:dyDescent="0.25">
      <c r="B30" s="11">
        <v>7.4999999999999997E-2</v>
      </c>
      <c r="C30" s="10">
        <v>229.47976720484888</v>
      </c>
      <c r="D30">
        <v>246.7675252874914</v>
      </c>
      <c r="E30">
        <v>267.51283498666237</v>
      </c>
      <c r="F30">
        <v>292.86821350787136</v>
      </c>
      <c r="G30">
        <v>324.56243665938268</v>
      </c>
    </row>
    <row r="31" spans="2:14" ht="17" x14ac:dyDescent="0.25">
      <c r="B31" s="11">
        <v>0.08</v>
      </c>
      <c r="C31" s="10">
        <v>211.114792787742</v>
      </c>
      <c r="D31">
        <v>225.47388037125512</v>
      </c>
      <c r="E31">
        <v>242.44371115177051</v>
      </c>
      <c r="F31">
        <v>262.80750808838911</v>
      </c>
      <c r="G31">
        <v>287.69659323314511</v>
      </c>
    </row>
    <row r="32" spans="2:14" ht="17" x14ac:dyDescent="0.25">
      <c r="B32" s="11">
        <v>8.5000000000000006E-2</v>
      </c>
      <c r="C32" s="10">
        <v>195.37860019809142</v>
      </c>
      <c r="D32">
        <v>207.46108128729367</v>
      </c>
      <c r="E32">
        <v>221.55730922469624</v>
      </c>
      <c r="F32">
        <v>238.21648769617209</v>
      </c>
      <c r="G32">
        <v>258.20750186194311</v>
      </c>
      <c r="N32" t="s">
        <v>55</v>
      </c>
    </row>
    <row r="33" spans="2:14" ht="17" x14ac:dyDescent="0.25">
      <c r="B33" s="11">
        <v>0.09</v>
      </c>
      <c r="C33" s="10">
        <v>181.74531943967867</v>
      </c>
      <c r="D33">
        <v>192.02598374378522</v>
      </c>
      <c r="E33">
        <v>203.88828871006194</v>
      </c>
      <c r="F33">
        <v>217.72764450405157</v>
      </c>
      <c r="G33">
        <v>234.0832468060392</v>
      </c>
      <c r="N33" t="s">
        <v>56</v>
      </c>
    </row>
    <row r="34" spans="2:14" ht="17" x14ac:dyDescent="0.25">
      <c r="B34" s="11">
        <v>9.5000000000000001E-2</v>
      </c>
      <c r="C34" s="10">
        <v>169.82055105843952</v>
      </c>
      <c r="D34">
        <v>178.6529514105236</v>
      </c>
      <c r="E34">
        <v>188.74712324147669</v>
      </c>
      <c r="F34">
        <v>200.39424458488426</v>
      </c>
      <c r="G34">
        <v>213.98255281885969</v>
      </c>
      <c r="N34" t="s">
        <v>57</v>
      </c>
    </row>
    <row r="35" spans="2:14" ht="17" x14ac:dyDescent="0.25">
      <c r="B35" s="11">
        <v>0.1</v>
      </c>
      <c r="C35" s="10">
        <v>159.30269824006325</v>
      </c>
      <c r="D35">
        <v>166.95525959263745</v>
      </c>
      <c r="E35">
        <v>175.62816245888814</v>
      </c>
      <c r="F35">
        <v>185.54005144888902</v>
      </c>
      <c r="G35">
        <v>196.97684643735153</v>
      </c>
    </row>
  </sheetData>
  <conditionalFormatting sqref="C29:G3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2A07-39C0-5248-9D9D-98C6E378A712}">
  <dimension ref="A1:E5"/>
  <sheetViews>
    <sheetView workbookViewId="0">
      <selection activeCell="B7" sqref="B7"/>
    </sheetView>
  </sheetViews>
  <sheetFormatPr baseColWidth="10" defaultRowHeight="16" x14ac:dyDescent="0.2"/>
  <cols>
    <col min="1" max="1" width="22.5" customWidth="1"/>
    <col min="2" max="2" width="24" customWidth="1"/>
    <col min="3" max="3" width="19.1640625" customWidth="1"/>
    <col min="4" max="4" width="17.1640625" customWidth="1"/>
    <col min="5" max="5" width="16.6640625" customWidth="1"/>
  </cols>
  <sheetData>
    <row r="1" spans="1:5" x14ac:dyDescent="0.2">
      <c r="A1" t="s">
        <v>59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2">
      <c r="A2" t="s">
        <v>64</v>
      </c>
      <c r="B2" s="12">
        <f>Financial_Data!N6</f>
        <v>0.54954628959527918</v>
      </c>
      <c r="C2" s="12">
        <f>Financial_Data!Y6</f>
        <v>0.65676668707899566</v>
      </c>
      <c r="D2" s="12">
        <f>Financial_Data!R6</f>
        <v>0.50974780897871586</v>
      </c>
      <c r="E2" s="12">
        <f>Financial_Data!Z6</f>
        <v>0.20889631894700089</v>
      </c>
    </row>
    <row r="3" spans="1:5" x14ac:dyDescent="0.2">
      <c r="A3" t="s">
        <v>65</v>
      </c>
      <c r="B3" s="12">
        <v>0.44629999999999997</v>
      </c>
      <c r="C3" s="12">
        <v>0.55320000000000003</v>
      </c>
      <c r="D3" s="12">
        <v>1.919</v>
      </c>
      <c r="E3" s="12">
        <v>0.28399999999999997</v>
      </c>
    </row>
    <row r="4" spans="1:5" x14ac:dyDescent="0.2">
      <c r="A4" t="s">
        <v>66</v>
      </c>
      <c r="B4" s="12">
        <v>0.13469999999999999</v>
      </c>
      <c r="C4" s="12">
        <v>0.19550000000000001</v>
      </c>
      <c r="D4" s="12">
        <v>0.34139999999999998</v>
      </c>
      <c r="E4" s="12">
        <v>3.6999999999999998E-2</v>
      </c>
    </row>
    <row r="5" spans="1:5" x14ac:dyDescent="0.2">
      <c r="A5" t="s">
        <v>67</v>
      </c>
      <c r="B5" s="12">
        <v>0.14299999999999999</v>
      </c>
      <c r="C5" s="12">
        <v>0.16750000000000001</v>
      </c>
      <c r="D5" s="12">
        <v>0.2031</v>
      </c>
      <c r="E5" s="12">
        <v>5.0999999999999997E-2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2BDA-28E3-9C41-B4EB-75B6611A6BC7}">
  <dimension ref="A1"/>
  <sheetViews>
    <sheetView topLeftCell="S1" zoomScale="110" zoomScaleNormal="100" workbookViewId="0">
      <selection activeCell="AL22" sqref="AL22"/>
    </sheetView>
  </sheetViews>
  <sheetFormatPr baseColWidth="10" defaultRowHeight="16" x14ac:dyDescent="0.2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</vt:lpstr>
      <vt:lpstr>Financial_Data</vt:lpstr>
      <vt:lpstr>Visa_DCF</vt:lpstr>
      <vt:lpstr>Competitors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A Daoud</dc:creator>
  <cp:lastModifiedBy>Nada A Daoud</cp:lastModifiedBy>
  <dcterms:created xsi:type="dcterms:W3CDTF">2025-12-31T11:33:28Z</dcterms:created>
  <dcterms:modified xsi:type="dcterms:W3CDTF">2026-02-15T23:15:26Z</dcterms:modified>
</cp:coreProperties>
</file>